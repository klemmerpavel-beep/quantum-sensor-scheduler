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 Klemmer\Desktop\"/>
    </mc:Choice>
  </mc:AlternateContent>
  <xr:revisionPtr revIDLastSave="0" documentId="13_ncr:1_{A411D26F-27A3-4A31-BA46-F82DA7A437F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План-график (На подписание)" sheetId="1" r:id="rId1"/>
    <sheet name="Важное" sheetId="2" r:id="rId2"/>
    <sheet name="Ведомость исполнителя" sheetId="3" r:id="rId3"/>
    <sheet name="Соисполнители " sheetId="4" r:id="rId4"/>
    <sheet name="Оборудование и Сырье" sheetId="5" r:id="rId5"/>
  </sheets>
  <definedNames>
    <definedName name="_xlnm._FilterDatabase" localSheetId="1" hidden="1">Важное!$A$3:$G$29</definedName>
    <definedName name="_xlnm.Print_Titles" localSheetId="1">Важное!$3:$3</definedName>
    <definedName name="_xlnm.Print_Titles" localSheetId="0">'План-график (На подписание)'!$9:$9</definedName>
    <definedName name="_xlnm.Print_Area" localSheetId="0">'План-график (На подписание)'!$A$1:$G$98</definedName>
  </definedNames>
  <calcPr calcId="191029"/>
</workbook>
</file>

<file path=xl/calcChain.xml><?xml version="1.0" encoding="utf-8"?>
<calcChain xmlns="http://schemas.openxmlformats.org/spreadsheetml/2006/main">
  <c r="G35" i="5" l="1"/>
  <c r="G34" i="5"/>
  <c r="G33" i="5"/>
  <c r="G32" i="5"/>
  <c r="G31" i="5"/>
  <c r="G30" i="5"/>
  <c r="G29" i="5"/>
  <c r="G36" i="5" s="1"/>
  <c r="G26" i="5"/>
  <c r="G25" i="5"/>
  <c r="G24" i="5"/>
  <c r="G23" i="5"/>
  <c r="G27" i="5" s="1"/>
  <c r="G37" i="5" s="1"/>
  <c r="G22" i="5"/>
  <c r="G15" i="5"/>
  <c r="G14" i="5"/>
  <c r="G13" i="5"/>
  <c r="G12" i="5"/>
  <c r="G9" i="5"/>
  <c r="G8" i="5"/>
  <c r="F7" i="5"/>
  <c r="G7" i="5" s="1"/>
  <c r="G6" i="5"/>
  <c r="G10" i="5" s="1"/>
  <c r="G16" i="5" s="1"/>
  <c r="F6" i="5"/>
</calcChain>
</file>

<file path=xl/sharedStrings.xml><?xml version="1.0" encoding="utf-8"?>
<sst xmlns="http://schemas.openxmlformats.org/spreadsheetml/2006/main" count="818" uniqueCount="466">
  <si>
    <t>План-график мероприятий по выполнению этапа ОКР</t>
  </si>
  <si>
    <t>«Разработка и испытания опытного образца малогабаритного инерциального измерительного модуля на ядерном магнитном гироскопе для высокодинамичных объектов» 
(шифр «ЯМГ-ИИМ»)</t>
  </si>
  <si>
    <t>Договор на выполнение опытно-конструкторской работы № 868/2666-Д от 13.08.2026</t>
  </si>
  <si>
    <t>Этап 1 «Разработка технического проекта ИИМ и создание лабораторного образца ЯМГ»</t>
  </si>
  <si>
    <t xml:space="preserve">Сроки выполнения этапа 1: с 13.08.2026 — 30.12.2026. Продолжительность этапа — 4 мес. 17 кал. дней.
</t>
  </si>
  <si>
    <t xml:space="preserve">№ п/п </t>
  </si>
  <si>
    <t>Наименование работ, мероприятий</t>
  </si>
  <si>
    <t xml:space="preserve">Исполнитель </t>
  </si>
  <si>
    <t xml:space="preserve">Сроки завершения </t>
  </si>
  <si>
    <t>Представляемые документы/ отчетные материалы/ научно- техническая продукция</t>
  </si>
  <si>
    <t>Сроки предоставления Заказчику</t>
  </si>
  <si>
    <t xml:space="preserve">Документ, определяющий исполнение </t>
  </si>
  <si>
    <t>Основание включения позиции</t>
  </si>
  <si>
    <t>Примечание/вопрос</t>
  </si>
  <si>
    <t>1.</t>
  </si>
  <si>
    <t xml:space="preserve">Запуск </t>
  </si>
  <si>
    <t>1.1.</t>
  </si>
  <si>
    <t>Уведомление Заказчика о наличии у Исполнителя исключительных прав на РИД, созданные до заключения Договора</t>
  </si>
  <si>
    <t>АО «Концерн «ЦНИИ «Электроприбор»</t>
  </si>
  <si>
    <t>Письмо Исполнителя об исключительных правах на РИД, созданные до заключения Договора</t>
  </si>
  <si>
    <t>Письмо Исполнителя</t>
  </si>
  <si>
    <t>Шаблон Плана-графика, п. 6.6 Договора</t>
  </si>
  <si>
    <t>Срок приведён к конкретной календарной дате (отсчёт от даты заключения Договора — 13.08.2026): 10 рабочих дней</t>
  </si>
  <si>
    <t>1.2.</t>
  </si>
  <si>
    <t>Назначение ответственных представителей Сторон для координации взаимодействия при выполнении Договора</t>
  </si>
  <si>
    <t>АО «Концерн «ЦНИИ «Электроприбор»
ООО «СП «Квант»</t>
  </si>
  <si>
    <t>03.09.2026</t>
  </si>
  <si>
    <t>Письменные уведомления Сторон с приложением распорядительных документов</t>
  </si>
  <si>
    <t>Письма Исполнителя и Заказчика</t>
  </si>
  <si>
    <t>Шаблон Плана-графика, п. 2.20 Договора</t>
  </si>
  <si>
    <t>Срок приведён к конкретной календарной дате (отсчёт от даты заключения Договора — 13.08.2026): 15 рабочих дней</t>
  </si>
  <si>
    <t>1.3.</t>
  </si>
  <si>
    <t xml:space="preserve">Приказ о создании рабочей группы Исполнителя </t>
  </si>
  <si>
    <t>Приказ о создании РГ со стороны Исполнителя</t>
  </si>
  <si>
    <t>1.4.</t>
  </si>
  <si>
    <t>Размещение сведений о проведении ОКР (этапа ОКР) в ЕГИСУ НИОКТР</t>
  </si>
  <si>
    <t>30.09.2026</t>
  </si>
  <si>
    <t>Сведения для ЕГИСУ НИОКТР с подписанным РИО Исполнителя; документы, подтверждающие размещение сведений</t>
  </si>
  <si>
    <t>Шаблон Плана-графика, п. 2.7.2 Договора</t>
  </si>
  <si>
    <t>Конкретная дата установлена по замечанию Заказчика (письмо от 18.08.2026): размещение сведений в ЕГИСУ НИОКТР — не позднее 30.09.2026</t>
  </si>
  <si>
    <t>1.5.</t>
  </si>
  <si>
    <t>Подтверждение значения УГТ проекта на начало работ по ОКР</t>
  </si>
  <si>
    <t>Справка Исполнителя об уровне готовности технологии (УГТ)</t>
  </si>
  <si>
    <t>Письмо Заказчику с приложением документов</t>
  </si>
  <si>
    <t>Шаблон Плана-графика</t>
  </si>
  <si>
    <t>Рекомендуемая Заказчиком дата закрытия работ — 30.09.2026 (письмо от 18.08.2026). Ссылка на форму Приложения № 6 исключена как некорректная (указанное приложение не содержит соответствующих положений); справка оформляется по форме Исполнителя</t>
  </si>
  <si>
    <t>1.6.</t>
  </si>
  <si>
    <t>Предоставление обеспечения исполнения Договора (банковская гарантия)</t>
  </si>
  <si>
    <t>02.09.2026</t>
  </si>
  <si>
    <t>Банковская (независимая) гарантия по формам п. 6 Приложения № 6 к Договору</t>
  </si>
  <si>
    <t>п. 3.8 б) Договора</t>
  </si>
  <si>
    <t>Срок приведён к конкретной календарной дате (отсчёт от даты заключения Договора — 13.08.2026): 20 календарных дней</t>
  </si>
  <si>
    <t>1.7.</t>
  </si>
  <si>
    <t>Предоставление обеспечения возврата аванса (банковская гарантия)</t>
  </si>
  <si>
    <t>п. 3.8 а) Договора</t>
  </si>
  <si>
    <t>Срок запланирован на 24.08.2026 (п. 3.8 а) Договора: обеспечение возврата аванса предоставляется не позднее, чем за 5 рабочих дней до даты выплаты аванса)</t>
  </si>
  <si>
    <t>1.8.</t>
  </si>
  <si>
    <t>Согласование с Заказчиком плана-графика мероприятий по выполнению этапа 1</t>
  </si>
  <si>
    <t>Согласованный Заказчиком план-график мероприятий по выполнению этапа 1</t>
  </si>
  <si>
    <t>План-график с отметкой Заказчика о согласовании (письмо Заказчика)</t>
  </si>
  <si>
    <t>ТЗ (п. 13.1.4)</t>
  </si>
  <si>
    <t>Срок приведён к конкретной календарной дате (отсчёт от даты заключения Договора — 13.08.2026): 14 календарных дней от даты начала этапа</t>
  </si>
  <si>
    <t>2.</t>
  </si>
  <si>
    <t xml:space="preserve">Реализация этапа 1 (13.08.2026 - 30.12.2026) </t>
  </si>
  <si>
    <t>2.1.</t>
  </si>
  <si>
    <t xml:space="preserve">3 квартал 2026 года </t>
  </si>
  <si>
    <t>2.1.1.</t>
  </si>
  <si>
    <t>Патентные исследования по направлению работ</t>
  </si>
  <si>
    <t>Отчет по патентным исследованиям (по ГОСТ Р 15.011-2024)</t>
  </si>
  <si>
    <t>Письмо Исполнителя Заказчику</t>
  </si>
  <si>
    <t>ТЗ (п. 12.1, пп. 9.1, 9.2); Ведомость исполнения</t>
  </si>
  <si>
    <t>2.1.1.1.</t>
  </si>
  <si>
    <t>Формирование и согласование с Заказчиком задания на проведение патентных исследований и регламента поиска (объект и предмет поиска, источники информации, ретроспективность поиска)</t>
  </si>
  <si>
    <t>Договор (п. 6.18); М</t>
  </si>
  <si>
    <t>2.1.1.2.</t>
  </si>
  <si>
    <t>Патентные исследования на уровень техники и определение тенденций развития: патентный и информационный поиск, анализ уровня техники по техническому решению и главной функции объекта исследований, выявление типичных и наиболее актуальных технических решений</t>
  </si>
  <si>
    <t>11.09.2026</t>
  </si>
  <si>
    <t>—</t>
  </si>
  <si>
    <t>Задание на ПИ (задачи патентных исследований)</t>
  </si>
  <si>
    <t>2.1.1.3.</t>
  </si>
  <si>
    <t>Патентные исследования на патентоспособность: выявление аналогов и прототипа объекта исследований и его составных частей, анализ и обобщение выявленной информации, подготовка предложений по выбору предпочтительного способа правовой охраны РИД</t>
  </si>
  <si>
    <t>25.09.2026</t>
  </si>
  <si>
    <t>2.1.1.4.</t>
  </si>
  <si>
    <t>Исследование патентной чистоты в отношении Российской Федерации: анализ патентной ситуации, выявление охранных документов третьих лиц, под действие которых может подпадать Изделие (методы изготовления и конструктивные решения)</t>
  </si>
  <si>
    <t>29.09.2026</t>
  </si>
  <si>
    <t>ТЗ (п. 9.1)</t>
  </si>
  <si>
    <t>Позиция добавлена: исследование патентной чистоты в отношении Российской Федерации — обязательный вид патентных исследований по п. 9.1 ТЗ (ГОСТ Р 15.011-2024, п. 5.7); включается в задание на проведение ПИ</t>
  </si>
  <si>
    <t>2.1.1.5.</t>
  </si>
  <si>
    <t>Оформление отчета по патентным исследованиям в соответствии с ГОСТ Р 15.011-2024</t>
  </si>
  <si>
    <t>М</t>
  </si>
  <si>
    <t>2.1.2.</t>
  </si>
  <si>
    <t>Выбор и обоснование принципиальной схемы квантового сенсора</t>
  </si>
  <si>
    <t>Пояснительная записка обоснования принципиальной схемы квантового сенсора</t>
  </si>
  <si>
    <t>ТЗ (п. 12.1, п. 13.3.1); Ведомость исполнения</t>
  </si>
  <si>
    <t>2.1.2.1.</t>
  </si>
  <si>
    <t>Обоснование выбора рабочих веществ квантового сенсора</t>
  </si>
  <si>
    <t>04.09.2026</t>
  </si>
  <si>
    <t>ст. «Гироскоп на ЯМР: предельные характеристики» (2018); гл. «Spin-Exchange-Pumped NMR Gyros»; ст. «Метод подавления изотопического сдвига в балансном квантовом датчике вращения на эффекте ЯМР»</t>
  </si>
  <si>
    <t>2.1.2.2.</t>
  </si>
  <si>
    <t>Обоснование выбора лазерных излучателей VCSEL на длине волны поглощения цезия и схемы оптической накачки с детектированием</t>
  </si>
  <si>
    <t>ст. Appl. Sci. 2020, 10, 7099 (синхронный ЯМР-гироскоп со спин-обменной накачкой); М</t>
  </si>
  <si>
    <t>2.1.2.3.</t>
  </si>
  <si>
    <t>Обоснование состава рабочей смеси газовой ячейки</t>
  </si>
  <si>
    <t>18.09.2026</t>
  </si>
  <si>
    <t>ст. IEEE Sensors J. (2019) по изотопному сдвигу ЯМР 129Xe/131Xe при спин-обменной накачке; ст. «Моделирование размерных зависимостей изотопического сдвига ЯМР в ксеноне» (2020)</t>
  </si>
  <si>
    <t>2.1.2.4.</t>
  </si>
  <si>
    <t>Обоснование схемы магнитной системы</t>
  </si>
  <si>
    <t>ст. «Метод подавления изотопического сдвига в балансном квантовом датчике вращения на эффекте ЯМР»; М</t>
  </si>
  <si>
    <t>2.1.2.5.</t>
  </si>
  <si>
    <t>Сравнительный анализ вариантов контура обратной связи</t>
  </si>
  <si>
    <t>ст. J. Magn. Reson. 278 (2017) 134–140; ст. J. Magn. Reson. 326 (2021) 106959</t>
  </si>
  <si>
    <t>2.1.2.6.</t>
  </si>
  <si>
    <t>Оформление пояснительной записки обоснования принципиальной схемы квантового сенсора</t>
  </si>
  <si>
    <t>2.1.3.</t>
  </si>
  <si>
    <t>Разработка и согласование Заказчиком Перечня-комплектности документации на ИИМ</t>
  </si>
  <si>
    <t>14.10.2026</t>
  </si>
  <si>
    <t>Перечень-комплектность документации на ИИМ</t>
  </si>
  <si>
    <t>Согласованный (утверждённый) Заказчиком Перечень-комплектность документации на ИИМ</t>
  </si>
  <si>
    <t>ТЗ (п. 10.1)</t>
  </si>
  <si>
    <t>Позиции объединены в одну работу по решению Заказчика (письмо от 18.08.2026) с сохранением срока согласования Заказчиком — 14.10.2026</t>
  </si>
  <si>
    <t>2.1.4.</t>
  </si>
  <si>
    <t>Разработка и согласование с Заказчиком отдельного технического задания на СЧ ОКР «ЯМГ-ИИМ-ФТИ» (исследование лазерных модулей VCSEL)</t>
  </si>
  <si>
    <t>АО «Концерн «ЦНИИ «Электроприбор», ООО «СП «Квант»</t>
  </si>
  <si>
    <t>Проект технического задания на СЧ ОКР «ЯМГ-ИИМ-ФТИ» (исследование лазерных модулей VCSEL)</t>
  </si>
  <si>
    <t>Письмо Исполнителя Заказчику, Согласованное Заказчиком отдельное ТЗ на СЧ ОКР</t>
  </si>
  <si>
    <t>ТЗ (п. 5.1.2)</t>
  </si>
  <si>
    <t>Разработка отдельного ТЗ на СЧ ОКР — до 04.09.2026, согласование с Заказчиком — 11.09.2026 (поз. 2.1.5). Сроки установлены по решению Заказчика (письмо от 18.08.2026): обеспечивают последовательность «согласованное ТЗ на СЧ ОКР → заключение договора с соисполнителем (поз. 2.1.7)»</t>
  </si>
  <si>
    <t xml:space="preserve">2.1.5. </t>
  </si>
  <si>
    <t>Разработка и согласование с Заказчиком отдельного технического задания на работу Соисполнителя (Институт химии силикатов им. И.В. Гребенщикова)</t>
  </si>
  <si>
    <t>Проект технического задания на СЧ ОКР «ЯМГ-ИИМ» (Разработка отдельных технологических операций изготовления ячеек ядерного магнитного гироскопа.)</t>
  </si>
  <si>
    <t>2.1.6.</t>
  </si>
  <si>
    <t>Формирование и выдача технических заданий соисполнителям на выполнение работ по этапу 1 (ФТИ им. А.Ф. Иоффе, Институт химии силикатов им. И.В. Гребенщикова) — приложения к договорам с соисполнителями; заключение договоров с соисполнителями и поставщиками; направление Заказчику скан-копий заключенных договоров (в течение 5 рабочих дней с даты заключения договора)</t>
  </si>
  <si>
    <t>АО «Концерн «ЦНИИ «Электроприбор», ИХС им. И.В. Гребенщикова, ФТИ им. А.Ф. Иоффе</t>
  </si>
  <si>
    <t>Технические задания соисполнителям (приложения к договорам с соисполнителями); скан-копии заключенных договоров с соисполнителями и поставщиками</t>
  </si>
  <si>
    <t>Договоры с соисполнителями (технические задания — приложения к договорам); письмо Исполнителя Заказчику с приложением скан-копий заключенных договоров</t>
  </si>
  <si>
    <t>Договор (п. 2.6.1, п. 2.6.2)</t>
  </si>
  <si>
    <t>Позиции 2.1.7 и 2.1.8 объединены в одну по замечанию Заказчика (письмо от 18.08.2026) с сохранением срока — 30.09.2026. Заключение договоров — без дополнительных конкурсных процедур (п. 2.6.1 Договора); на внутренние процедуры Исполнителя закладывается 2 недели. Отдельное письмо соисполнителю не направляется: ТЗ — приложение к договору с соисполнителем</t>
  </si>
  <si>
    <t>2.1.7.</t>
  </si>
  <si>
    <t>Формирование плана закупок и закупка материально-технических ресурсов (МТР) для выполнения работ по этапу 1</t>
  </si>
  <si>
    <t>15.09.2026</t>
  </si>
  <si>
    <t>План закупок МТР; документы, подтверждающие проведение закупки МТР</t>
  </si>
  <si>
    <t>Срок установлен по замечанию Заказчика (письмо от 18.08.2026): с учётом ограниченной продолжительности этапа 1 закупка МТР проводится не позднее 15.09.2026</t>
  </si>
  <si>
    <t>2.1.8.</t>
  </si>
  <si>
    <t>Разработка технических требований на составные части ИИМ и выдача частных технических заданий подразделениям Исполнителя</t>
  </si>
  <si>
    <t>Технические требования на составные части ИИМ; частные технические задания подразделениям Исполнителя</t>
  </si>
  <si>
    <t>Частные технические задания подразделениям Исполнителя (внутренние документы Исполнителя)</t>
  </si>
  <si>
    <t>ТЗ (п. 12.1)</t>
  </si>
  <si>
    <t>Подразделения Исполнителя (конструкторский отдел, отдел разработки электроники, отдел разработки инерциальных навигационных систем) получают частные технические задания от головного подразделения Исполнителя; документы являются внутренними, Заказчику не представляются</t>
  </si>
  <si>
    <t>2.1.9.</t>
  </si>
  <si>
    <t>Согласование с Заказчиком программы и методики испытаний лабораторного образца ЯМГ</t>
  </si>
  <si>
    <t>Программа и методика испытаний лабораторного образца ЯМГ</t>
  </si>
  <si>
    <t>Согласованные Заказчиком программа и методика испытаний (письмо Заказчика)</t>
  </si>
  <si>
    <t>ТЗ (пп. 13.2, 13.3.2); Ведомость исполнения</t>
  </si>
  <si>
    <t>Программа и методика испытаний согласуются одновременно с передачей пояснительной записки обоснования принципиальной схемы квантового сенсора (поз. 2.1.2, 30.09.2026); исследования лабораторного образца ЯМГ планируются на ноябрь–декабрь 2026 г.</t>
  </si>
  <si>
    <t>2.2.</t>
  </si>
  <si>
    <t xml:space="preserve">4 квартал 2026 года </t>
  </si>
  <si>
    <t>2.2.1.</t>
  </si>
  <si>
    <t>Выполнение соисполнителем (ФТИ им. А.Ф. Иоффе) работ по этапу 1 СЧ ОКР «ЯМГ-ИИМ-ФТИ»: разработка программы и методик испытаний лазерных модулей для определения базовых характеристик в рабочей точке</t>
  </si>
  <si>
    <t>ФТИ им. А.Ф. Иоффе</t>
  </si>
  <si>
    <t>16.11.2026</t>
  </si>
  <si>
    <t>Программа и методики испытаний лазерных модулей (проекты)</t>
  </si>
  <si>
    <t>Отчётные материалы соисполнителя (приёмка — поз. 2.2.6)</t>
  </si>
  <si>
    <t>Краткое ТЗ на СЧ ОКР «ЯМГ-ИИМ-ФТИ»; Договор (п. 2.6.2)</t>
  </si>
  <si>
    <t>Позиция переформулирована по краткому ТЗ на СЧ ОКР «ЯМГ-ИИМ-ФТИ»: на этапе 1 соисполнитель разрабатывает программу и методики испытаний лазерных модулей и доукомплектовывает собственные исследовательские стенды; разработка лазеров в объём работ не входит. Передача лазерных модулей соисполнителю на этапе 1 не производится; на последующих этапах лазерные модули передаются соисполнителю во временное безвозмездное пользование с возвратом по завершении соответствующих этапов работ. Договор с соисполнителем заключается в сентябре 2026 г. (поз. 2.1.5). Завершение работ и передача отчётных материалов — 16.11.2026, приёмка — 30.11.2026, поз. 2.2.6 (решение Заказчика от 18.08.2026)</t>
  </si>
  <si>
    <t>2.2.2.</t>
  </si>
  <si>
    <t>Выполнение соисполнителем (Институт химии силикатов им. И.В. Гребенщикова) работ по этапу 1: разработка отдельных технологических операций изготовления ячеек ядерного магнитного гироскопа</t>
  </si>
  <si>
    <t>ИХС им. И.В. Гребенщикова</t>
  </si>
  <si>
    <t>Отчётные материалы соисполнителя по разработке технологических операций изготовления ячеек ЯМГ</t>
  </si>
  <si>
    <t>Отчётные материалы соисполнителя (приёмка — поз. 2.2.7)</t>
  </si>
  <si>
    <t>Передача отчётных материалов — не позднее 16.11.2026, приёмка — поз. 2.2.7 (27.11.2026).</t>
  </si>
  <si>
    <t>2.2.3.</t>
  </si>
  <si>
    <t>Выполнение технического проектирования ИИМ: создание математической модели квантовых процессов в миниатюрной газовой ячейке с учетом влияния внешних дестабилизирующих факторов</t>
  </si>
  <si>
    <t>27.11.2026</t>
  </si>
  <si>
    <t>Математическая модель квантовых процессов в миниатюрной газовой ячейке: пояснительная записка с описанием модели (в составе комплекта документов технического проекта, ГОСТ 2.106)</t>
  </si>
  <si>
    <t>Комплект отчётности по математической модели сведён к минимально необходимому (пояснительная записка с описанием модели). Передача Заказчику программной реализации математической модели (программы для ЭВМ) в настоящем плане-графике не прописывается: вопрос будет решён после появления самой программы (позиция согласована с Заказчиком)</t>
  </si>
  <si>
    <t>2.2.3.1.</t>
  </si>
  <si>
    <t>Моделирование динамики спинов цезия и спин-обменной накачки изотопов ксенона в миниатюрной газовой ячейке</t>
  </si>
  <si>
    <t>30.10.2026</t>
  </si>
  <si>
    <t>гл. «Spin-Exchange-Pumped NMR Gyros»; ст. «Гироскоп на ЯМР: предельные характеристики» (2018)</t>
  </si>
  <si>
    <t>2.2.3.2.</t>
  </si>
  <si>
    <t>Моделирование изотопного сдвига частот ЯМР 129Xe/131Xe и его зависимости от температуры, давления и размеров ячейки</t>
  </si>
  <si>
    <t>06.11.2026</t>
  </si>
  <si>
    <t>2.2.3.3.</t>
  </si>
  <si>
    <t>Расчет оптимального изотопного состава ксенона и требуемых градиентов магнитного поля для подавления изотопного сдвига</t>
  </si>
  <si>
    <t>13.11.2026</t>
  </si>
  <si>
    <t>2.2.3.4.</t>
  </si>
  <si>
    <t>Моделирование контура обратной связи ЯМГ</t>
  </si>
  <si>
    <t>20.11.2026</t>
  </si>
  <si>
    <t>2.2.3.5.</t>
  </si>
  <si>
    <t>Модель ухода нуля и оценка чувствительности ЯМГ</t>
  </si>
  <si>
    <t>26.11.2026</t>
  </si>
  <si>
    <t>ст. «Гироскоп на ЯМР: предельные характеристики» (2018); ст. J. Magn. Reson. 278 (2017) 134–140</t>
  </si>
  <si>
    <t>2.2.3.6.</t>
  </si>
  <si>
    <t>Программная реализация модели, оформление пояснительной записки с описанием модели и описания программы</t>
  </si>
  <si>
    <t>2.2.4.</t>
  </si>
  <si>
    <t>Выполнение технического проектирования ИИМ: разработка КД технического проекта на составные части и модуль (ИИМ) в целом</t>
  </si>
  <si>
    <t>Комплект конструкторской документации технического проекта на составные части и модуль (ИИМ) в целом</t>
  </si>
  <si>
    <t>01.12.2026</t>
  </si>
  <si>
    <t>ТЗ (п. 12.1); Ведомость исполнения</t>
  </si>
  <si>
    <t>2.2.4.1.</t>
  </si>
  <si>
    <t>Разработка КД на миниатюрную сферическую газовую ячейку диаметром до 7 мм (стеклодувная технология); выбор варианта обработки внутренней поверхности стенок по результатам экспериментов</t>
  </si>
  <si>
    <t>М; ст. «Моделирование размерных зависимостей изотопического сдвига ЯМР в ксеноне» (2020)</t>
  </si>
  <si>
    <t>2.2.4.2.</t>
  </si>
  <si>
    <t>Разработка КД на магнитную систему: четырехсегментная катушка по оси чувствительности, седлообразные катушки по ортогональным осям, магнитные экраны</t>
  </si>
  <si>
    <t>2.2.4.3.</t>
  </si>
  <si>
    <t>Разработка КД на оптический блок: лазерные излучатели VCSEL, оптическая схема накачки и детектирования</t>
  </si>
  <si>
    <t>2.2.4.4.</t>
  </si>
  <si>
    <t>Проработка принципиальной схемы и технического облика  электронных блоков</t>
  </si>
  <si>
    <t>2.2.4.5.</t>
  </si>
  <si>
    <t>Проработка вариантов компоновки ИИМ в целом</t>
  </si>
  <si>
    <t>2.2.5.</t>
  </si>
  <si>
    <t>Создание лабораторной базы для подтверждения принципов функционирования ЯМГ</t>
  </si>
  <si>
    <t>Пояснительная записка с обоснованием лабораторного образца ЯМГ; акт изготовления лабораторного образца ЯМГ; протокол испытаний лабораторного образца ЯМГ</t>
  </si>
  <si>
    <t>ТЗ (п. 12.1, п. 13.3.2); Ведомость исполнения</t>
  </si>
  <si>
    <t>Подпозиция 2.2.5.4 (оформление пояснительной записки с обоснованием ЛО ЯМГ) укрупнена в настоящую позицию (решение Заказчика от 18.08.2026); состав передаваемых документов сохранён</t>
  </si>
  <si>
    <t>2.2.5.1.</t>
  </si>
  <si>
    <t>Изготовление макетов газовых ячеек и проведение экспериментов по выбору варианта обработки внутренней поверхности стенок</t>
  </si>
  <si>
    <t>2.2.5.2.</t>
  </si>
  <si>
    <t>Сборка лабораторного образца ЯМГ с оформлением акта изготовления</t>
  </si>
  <si>
    <t>Сборка лабораторного образца перенесена на ноябрь 2026 г.: исследования лабораторного образца — 27.11.2026</t>
  </si>
  <si>
    <t>2.2.5.3.</t>
  </si>
  <si>
    <t>Исследования (испытания) лабораторного образца ЯМГ по согласованной с Заказчиком программе и методике испытаний (регистрация сигналов ЯМР 129Xe/131Xe, проверка работы контуров обратной связи, регистрация отклика на угловую скорость)</t>
  </si>
  <si>
    <t>ТЗ (п. 13.3.2); М</t>
  </si>
  <si>
    <t>2.2.5.4.</t>
  </si>
  <si>
    <t>Направление Заказчику приглашения на демонстрацию работы лабораторного образца ЯМГ представителям (комиссии) Заказчика</t>
  </si>
  <si>
    <t>Письмо-приглашение Исполнителя</t>
  </si>
  <si>
    <t>Письмо Исполнителя Заказчику; протокол демонстрации</t>
  </si>
  <si>
    <t>Договор (п. 2.8); ТЗ (п. 13.3.2, п. 13.3.3)</t>
  </si>
  <si>
    <t xml:space="preserve">Демонстрация проводится после завершения сборки ЛО ЯМГ (поз. 2.2.5.2, 20.11.2026) в рамках экспериментальных исследований по согласованной программе и методике (поз. 2.2.5.3). Приглашение направляется заблаговременно — не позднее 13.11.2026. </t>
  </si>
  <si>
    <t>2.2.5.5.</t>
  </si>
  <si>
    <t xml:space="preserve">Проведение демонстрации (испытаний) работы лабораторного образца ЯМГ </t>
  </si>
  <si>
    <t>Протокол испытаний лабораторного образца ЯМГ, подтверждающий работоспособность заложенных физических принципов.</t>
  </si>
  <si>
    <t xml:space="preserve">Акт приемки испытаний лабораторного образца ЯМГ </t>
  </si>
  <si>
    <t>2.2.6.</t>
  </si>
  <si>
    <t>Приемка отчетных материалов соисполнителя (ФТИ им. А.Ф. Иоффе) по результатам работ по этапу 1</t>
  </si>
  <si>
    <t>Заключение о приемке отчетных материалов соисполнителя</t>
  </si>
  <si>
    <t>Договор (п. 2.6.2); М</t>
  </si>
  <si>
    <t>Завершение работ соисполнителя и передача отчётных материалов — не позднее 16.11.2026; приёмка — до 30.11.2026, не менее 2 (двух) недель (решение Заказчика от 18.08.2026)</t>
  </si>
  <si>
    <t>2.2.7.</t>
  </si>
  <si>
    <t>Приемка отчетных материалов соисполнителя (Институт химии силикатов им. И.В. Гребенщикова)</t>
  </si>
  <si>
    <t>Завершение работ соисполнителя (ИХС им. И.В. Гребенщикова) и передача отчётных материалов — не позднее 16.11.2026; приёмка — до 30.11.2026, не менее 2 (двух) недель (решение Заказчика от 18.08.2026)</t>
  </si>
  <si>
    <t>2.2.8.</t>
  </si>
  <si>
    <t>Подготовка отчетной документации по этапу (в том числе: технико-экономическое обоснование по этапу; оценка достижения характеристик изделия расчетным методом по результатам технического проектирования; выпуск комплекта документов технического проекта в соответствии с ГОСТ 2.120, нормоконтроль)</t>
  </si>
  <si>
    <t>30.11.2026</t>
  </si>
  <si>
    <t>Комплект документов технического проекта в соответствии с ГОСТ 2.120; пояснительная записка к техническому проекту (ГОСТ 2.106); технико-экономическое обоснование по этапу</t>
  </si>
  <si>
    <t>ТЗ (п. 12.1, п. 4.4); Ведомость исполнения; М</t>
  </si>
  <si>
    <t>Подпозиции 2.2.8.1–2.2.8.3 укрупнены в одну позицию (решение Заказчика от 18.08.2026); контрольные сроки: ТЭО по этапу — 20.11.2026, оценка характеристик расчетным методом — 25.11.2026, выпуск комплекта документов ТП — 30.11.2026; полнота состава передаваемых документов сохранена. Оценка прогнозируемой стоимости единицы ИИМ в серийном производстве исключена из позиции по замечанию Заказчика; требование к серийной стоимости (п. 4.4 ТЗ) учитывается в ходе технического проектирования</t>
  </si>
  <si>
    <t>2.2.9.</t>
  </si>
  <si>
    <t>Уточнение на этапе технического проектирования параметров, допускаемых ТЗ (характеристики магнитной системы, оптического блока, газовой ячейки)</t>
  </si>
  <si>
    <t>Уточненные параметры в составе пояснительной записки к техническому проекту</t>
  </si>
  <si>
    <t>ТЗ (пп. 3.2.11, 3.3.3, 3.6.12)</t>
  </si>
  <si>
    <t>2.2.10.</t>
  </si>
  <si>
    <t>Направление Заказчику уведомления о готовности этапа 1 к сдаче (за 30 календарных дней до окончания этапа)</t>
  </si>
  <si>
    <t>Уведомление о готовности этапа 1 к сдаче</t>
  </si>
  <si>
    <t>ТЗ (п. 13.1.3)</t>
  </si>
  <si>
    <t>3.</t>
  </si>
  <si>
    <t xml:space="preserve">Сдача этапа 1 </t>
  </si>
  <si>
    <t>3.1.</t>
  </si>
  <si>
    <t xml:space="preserve">Формирование и передача Заказчику научно-технических отчетных материалов этапа 1 </t>
  </si>
  <si>
    <t xml:space="preserve">Комплект ТП по результатам ОКР Этапа №1 в соответствии ТЗ. </t>
  </si>
  <si>
    <t>не позднее 03.12.2026</t>
  </si>
  <si>
    <t xml:space="preserve"> Письмо Исполнителя Заказчику. </t>
  </si>
  <si>
    <t>Договор (п. 5.3); ТЗ (п. 13.1.1)</t>
  </si>
  <si>
    <t>Научно-технические отчетные материалы выделены отдельно от финансовой отчётности (поз. 3.2) по замечанию Заказчика. Пояснительная записка о МРиО (п. 5.3, п. 10 Договора) не включается: передача МРиО (имущества Заказчика) Договором не предусмотрена — не применимо</t>
  </si>
  <si>
    <t>3.2.</t>
  </si>
  <si>
    <t>Формирование и передача Заказчику сопроводительного комплекта документов (финансовая отчетность по этапу 1) (не более 10 рабочих дней с даты завершения работ по этапу)</t>
  </si>
  <si>
    <t>Отчетные материалы этапа 1 (ТЗ); РИО Исполнителя; заключение ПДНТК Исполнителя; письмо о наличии/отсутствии сведений из Перечня конфиденциальной информации (Приложение № 5); ФОД; отчет о расходах по форме п. 4 Приложения № 6 с приложением подтверждающих первичных бухгалтерских документов; акт инвентаризации овеществленного результата ОКР по этапу 1 (форма п. 2 Приложения № 6)  проект Акта сдачи-приемки Этапа ОКР; сохранная расписка (форма п. 5 Приложения № 6); документы, подтверждающие внесение сведений в ЕГИСУ НИОКТР.</t>
  </si>
  <si>
    <t>Договор (п. 5.3, п. 5.2, п. 2.14)</t>
  </si>
  <si>
    <t>Сопроводительный комплект (финансовая отчётность) выделен в отдельную позицию по замечанию Заказчика. Акт инвентаризации овеществленного результата передаётся в составе ФОД (п. 5.2 Договора)</t>
  </si>
  <si>
    <t>3.3.</t>
  </si>
  <si>
    <t>Представление Заказчику отчета о расходах за 3 квартал 2026 года</t>
  </si>
  <si>
    <t>28.10.2026</t>
  </si>
  <si>
    <t>Отчет о расходах за 3 квартал 2026 года (форма п. 4 Приложения № 6)</t>
  </si>
  <si>
    <t>Договор (п. 2.14)</t>
  </si>
  <si>
    <t>Срок приведён в соответствие с подписанной редакцией Договора: не позднее 20-го рабочего дня месяца, следующего за отчётным кварталом (п. 2.14); просрочка влечёт штраф (п. 8.3.7 Договора)</t>
  </si>
  <si>
    <t>3.4.</t>
  </si>
  <si>
    <t>Представление Заказчику отчета о расходах за 4 квартал 2026 года</t>
  </si>
  <si>
    <t>15.01.2027</t>
  </si>
  <si>
    <t>Отчет о расходах за 4 квартал 2026 года (форма п. 4 Приложения № 6)</t>
  </si>
  <si>
    <t>Срок установлен с запасом относительно п. 2.14 Договора (в январе 2027 г. — 15 рабочих дней)</t>
  </si>
  <si>
    <t>3.5.</t>
  </si>
  <si>
    <t>Оформление акта сверки расчетов за 3 квартал 2026 года</t>
  </si>
  <si>
    <t>15.10.2026</t>
  </si>
  <si>
    <t>Акт сверки расчетов за 3 квартал 2026 года</t>
  </si>
  <si>
    <t>Акт сверки расчетов, подписанный Сторонами</t>
  </si>
  <si>
    <t>Договор (п. 3.7)</t>
  </si>
  <si>
    <t>Срок строго по п. 3.7 Договора: ежеквартально, до 15-го числа месяца, следующего за отчётным кварталом</t>
  </si>
  <si>
    <t>3.6.</t>
  </si>
  <si>
    <t>Оформление акта сверки расчетов за 4 квартал 2026 года</t>
  </si>
  <si>
    <t>Акт сверки расчетов за 4 квартал 2026 года</t>
  </si>
  <si>
    <t>3.7.</t>
  </si>
  <si>
    <t>Формирование и передача Заказчику перечня результатов интеллектуальной деятельности (РИД), созданных при выполнении этапа 1</t>
  </si>
  <si>
    <t>Перечень РИД</t>
  </si>
  <si>
    <t>Договор (п. 6.2)</t>
  </si>
  <si>
    <t>3.8.</t>
  </si>
  <si>
    <t>Проведение инвентаризации овеществленного результата ОКР по этапу 1</t>
  </si>
  <si>
    <t>Акт инвентаризации овеществленного результата ОКР по этапу 1 (форма п. 2 Приложения № 6)</t>
  </si>
  <si>
    <t>Акт инвентаризации</t>
  </si>
  <si>
    <t>Договор (п. 5.2)</t>
  </si>
  <si>
    <t>Акт инвентаризации оформляется по форме п. 2 Приложения № 6 (п. 5.2 Договора); передача Заказчику — в составе ФОД (поз. 3.2)</t>
  </si>
  <si>
    <t>3.9.</t>
  </si>
  <si>
    <t>Приемка научно-технических отчетных материалов этапа 1 комиссией Заказчика (защита технического проекта)</t>
  </si>
  <si>
    <t>30.12.2026</t>
  </si>
  <si>
    <t>Замечания Заказчика (при наличии) либо решение комиссии о приемке</t>
  </si>
  <si>
    <t>Акт приемки результатов Этапа ОКР №1</t>
  </si>
  <si>
    <t>ТЗ (пп. 13.1.2, 13.3.3); Договор (п. 5.4)</t>
  </si>
  <si>
    <t>Приёмка технического проекта комиссией Заказчика — до 30 календарных дней с даты подписания Акта передачи отчётных материалов (п. 5.4 Договора); решение о приёмке технического проекта является основанием перехода к этапу 2 (начало — 01.01.2027). Контрольная дата 30.12.2026 соответствует Ведомости исполнения</t>
  </si>
  <si>
    <t>3.10.</t>
  </si>
  <si>
    <t>Приемка сопроводительных документов (финансовой отчетности по этапу 1)</t>
  </si>
  <si>
    <t>ООО «СП «Квант»</t>
  </si>
  <si>
    <t>Замечания Заказчика (при наличии) либо подтверждение приемки финансовой отчетности</t>
  </si>
  <si>
    <t>Акт сдачи-приемки Этапа ОКР</t>
  </si>
  <si>
    <t>Договор (п. 5.4)</t>
  </si>
  <si>
    <t>Приёмка финансовой отчётности по этапу 1 — второй этап приёмки (решение Заказчика от 18.08.2026)</t>
  </si>
  <si>
    <t>3.11.</t>
  </si>
  <si>
    <t>Устранение замечаний Заказчика (условный цикл — выполняется при наличии замечаний; не более 10 рабочих дней с даты получения мотивированного отказа)</t>
  </si>
  <si>
    <t>21.01.2027 (условно)</t>
  </si>
  <si>
    <t>Скорректированный комплект отчетных материалов с описью произведенных изменений</t>
  </si>
  <si>
    <t>Договор (п. 5.5)</t>
  </si>
  <si>
    <t>Условный цикл: выполняется при наличии замечаний; срок — не более 10 рабочих дней (п. 5.5 Договора)</t>
  </si>
  <si>
    <t>3.12.</t>
  </si>
  <si>
    <t>Подписание Акта сдачи-приемки Этапа ОКР (форма п. 3 Приложения № 6 к Договору)</t>
  </si>
  <si>
    <t>Акт сдачи-приемки Этапа ОКР, подписанный Сторонами</t>
  </si>
  <si>
    <t>ТЗ (п. 13.3.3); Договор (п. 5.4)</t>
  </si>
  <si>
    <t>Форма акта — п. 3 Приложения № 6 к Договору</t>
  </si>
  <si>
    <t>От Исполнителя:</t>
  </si>
  <si>
    <t>Главный конструктор ОКР, начальник лаборатории 080</t>
  </si>
  <si>
    <t>________________</t>
  </si>
  <si>
    <t>Г.В. Безмен</t>
  </si>
  <si>
    <t xml:space="preserve">Заместитель главного конструктора </t>
  </si>
  <si>
    <t>А.Н. Шевченко</t>
  </si>
  <si>
    <t>От Заказчика:</t>
  </si>
  <si>
    <t>Куратор по договору со стороны Заказчика</t>
  </si>
  <si>
    <t>Ю.В. Костюнина</t>
  </si>
  <si>
    <t>Технический Куратор по договору со стороны Заказчика</t>
  </si>
  <si>
    <t>А.Г. Пересадько</t>
  </si>
  <si>
    <t>Руководитель проекта со стороны Заказчика</t>
  </si>
  <si>
    <t>П.С. Клеммер</t>
  </si>
  <si>
    <t>Работы ближайшего времени по этапу 1 ОКР «ЯМГ-ИИМ»</t>
  </si>
  <si>
    <t>№ п/п по
План-графику</t>
  </si>
  <si>
    <t>Наименование работы, мероприятия</t>
  </si>
  <si>
    <t>Исполнитель</t>
  </si>
  <si>
    <t>Срок
завершения</t>
  </si>
  <si>
    <t>Результат / что предъявляется</t>
  </si>
  <si>
    <t xml:space="preserve">Дата передачи </t>
  </si>
  <si>
    <t>Отметка о
выполнении</t>
  </si>
  <si>
    <t>СРОЧНЫЕ РАБОТЫ — в процессе закрытия (перенос с сентября 2026 г.), горизонт 2 недели (по 09.10.2026). Контроль еженедельный.</t>
  </si>
  <si>
    <t>2.1.5.</t>
  </si>
  <si>
    <t>Подготовка материалов</t>
  </si>
  <si>
    <t>Решить проблему с размещением, ждем пакет документов на согласование</t>
  </si>
  <si>
    <t>Идет процесс, срок 30.09.2026</t>
  </si>
  <si>
    <t>Ждем, финальная проработка документов</t>
  </si>
  <si>
    <t>СРЕДНЕСРОЧНЫЕ РАБОТЫ — горизонт 1 месяц (01.10.2026 — 31.10.2026).</t>
  </si>
  <si>
    <t>НЕСРОЧНЫЕ РАБОТЫ — горизонт 2 месяца (01.11.2026 — 30.11.2026). Работы в стадии подготовки, выполнение ведётся с октября.</t>
  </si>
  <si>
    <t>Справочно (за пределами горизонта 2 месяцев, декабрь 2026 г. — сдача этапа 1):</t>
  </si>
  <si>
    <t>Формирование и передача Заказчику научно-технических отчетных материалов этапа 1 — 01.12.2026</t>
  </si>
  <si>
    <t>Формирование и передача Заказчику перечня результатов интеллектуальной деятельности (РИД), созданных при выполнении этапа 1 — 01.12.2026</t>
  </si>
  <si>
    <t>Проведение инвентаризации овеществленного результата ОКР по этапу 1 — 01.12.2026</t>
  </si>
  <si>
    <t>Приемка научно-технических отчетных материалов этапа 1 комиссией Заказчика (защита технического проекта) — 30.12.2026</t>
  </si>
  <si>
    <t>ЗАКРЫТЫЕ РАБОТЫ</t>
  </si>
  <si>
    <t>Письмо отправлено</t>
  </si>
  <si>
    <t>Получен документ</t>
  </si>
  <si>
    <t>Подписание</t>
  </si>
  <si>
    <t>Внутренний результат Исполнителя; входит в состав поз. 2.1.1</t>
  </si>
  <si>
    <t>Приказ о создании рабочей группы Исполнителя</t>
  </si>
  <si>
    <t>Пояснительная Записка (Обоснование переноса сроков закупки по Соисполнителю для укомплектации стенда, уменьшение рисков срыва сроков работ)</t>
  </si>
  <si>
    <t xml:space="preserve">Пояснительная записка за подписью (Безмена Г. В.) </t>
  </si>
  <si>
    <t>Принято</t>
  </si>
  <si>
    <t>Аванс ушел 31.08.2026</t>
  </si>
  <si>
    <t>Закрывается исполнителем (без нашего участия)</t>
  </si>
  <si>
    <t>№</t>
  </si>
  <si>
    <t>Наименование Этапа ОКР</t>
  </si>
  <si>
    <t>Результаты работ. Отчетные материалы (документы), научно-техническая продукция</t>
  </si>
  <si>
    <t>Срок выполнения/передачи документов</t>
  </si>
  <si>
    <t>Стоимость, руб.</t>
  </si>
  <si>
    <t>Этапа</t>
  </si>
  <si>
    <t>начало</t>
  </si>
  <si>
    <t>окончание</t>
  </si>
  <si>
    <t>Разработка технического проекта и создание лабораторного образца ЯМГ</t>
  </si>
  <si>
    <t>1. Отчет по патентным исследованиям.</t>
  </si>
  <si>
    <t>Дата заключения договора</t>
  </si>
  <si>
    <t>2. Пояснительная записка обоснования принципиальной схемы квантового сенсора.</t>
  </si>
  <si>
    <t>3. Создание математической модели квантовых процессов в миниатюрной газовой ячейке с учетом влияния внешних дестабилизирующих факторов.</t>
  </si>
  <si>
    <t>4. Разработка КД технического проекта на составные части и модуль в целом.</t>
  </si>
  <si>
    <t>5. Акт изготовления лабораторного образца ЯМГ для подтверждения принципов функционирования.</t>
  </si>
  <si>
    <t>6. Протокол испытаний лабораторного образца ЯМГ, подтверждающий работоспособность заложенных физических принципов.</t>
  </si>
  <si>
    <t>7. Выпуск комплекта документов технического проекта в соответствии с ГОСТ 2.120.</t>
  </si>
  <si>
    <t>8. Пояснительная записка к техническому проекту (согласно ГОСТ 2.106).</t>
  </si>
  <si>
    <t>Разработка рабочей конструкторской документации (РКД) и изготовление экспериментальных образцов ключевых узлов ЯМГ</t>
  </si>
  <si>
    <t>1. Промежуточный отчет о ОКР.</t>
  </si>
  <si>
    <t>2. Разработка РКД на миниатюрные газовые ячейки с учетом технологий стеклодувного изготовления и оценки применимости методов микромеханики.</t>
  </si>
  <si>
    <t>3. Разработка РКД на лазерные модули VCSEL и многослойные магнитные экраны.</t>
  </si>
  <si>
    <t>4. Акт изготовления экспериментального образца ЯМГ в реальном масштабе содержащий подтверждение достижения заданных характеристик ключевых узлов (газовой ячейки, лазерного модуля, магнитного экрана).</t>
  </si>
  <si>
    <t>5. Разработка ПМ предварительных испытаний экспериментального образца ЯМГ с эмуляцией внешних воздействий.</t>
  </si>
  <si>
    <t>6. Выпуск комплекта РКД на узлы и компоненты.</t>
  </si>
  <si>
    <t>7. НТО о результатах изготовления и эмуляционных испытаний, включающий протоколы испытаний экспериментального образца ЯМГ.</t>
  </si>
  <si>
    <t>Изготовление и автономные испытания полнофункциональной триады ЯМГ</t>
  </si>
  <si>
    <t>1. Промежуточный отчет ОКР.</t>
  </si>
  <si>
    <t>2. Акт изготовления полнофункциональных полноразмерных образцов ЯМГ.</t>
  </si>
  <si>
    <t>3. Протокол и акт проведения испытаний полнофункциональных образцов ЯМГ в условиях, приближенных к реальности (вибрация, температурные циклы).</t>
  </si>
  <si>
    <t>4. ПМ предварительных испытаний опытного образца ИИМ (для применения на этапе 4).</t>
  </si>
  <si>
    <t>5. Научно-технический отчет о результатах отработки технологии.</t>
  </si>
  <si>
    <t>Интеграция опытного образца ИИМ и проведение предварительных испытаний (ПИ)</t>
  </si>
  <si>
    <t>1. Промежуточный отчет ОКР</t>
  </si>
  <si>
    <t>2. ПМ приемочных испытаний опытного образца ИИМ (для применения на этапе 5).</t>
  </si>
  <si>
    <t>3. Пояснительная записка о результатах интеграции и калибровки ИИМ.</t>
  </si>
  <si>
    <t>4. Протокол и акт проведения предварительных испытаний двух опытных образцов ИИМ.</t>
  </si>
  <si>
    <t>5. Комплект РКД на ИИМ в сборе.</t>
  </si>
  <si>
    <t>Проведение приемочных испытаний (ПрИ) опытного образца ИИМ и корректировка РКД с присвоением литеры «О»</t>
  </si>
  <si>
    <t>1. Заключительный отчет ОКР.</t>
  </si>
  <si>
    <t>2. Оформление акта приемки и присвоение РКД литеры «О».</t>
  </si>
  <si>
    <t>3. Акты и протоколы приемочных испытаний двух опытных образцов ИИМ.</t>
  </si>
  <si>
    <t>4. Комплект РКД на ИИМ, скорректированный по результатам приемочных испытаний с присвоенной литерой «О».</t>
  </si>
  <si>
    <t>Соисполнители</t>
  </si>
  <si>
    <t>№ п/п</t>
  </si>
  <si>
    <t>Наименование организаций соисполнителей и контрагентов</t>
  </si>
  <si>
    <t>Наименование выполняемых работ (предмет договора)</t>
  </si>
  <si>
    <t>Цена договора, руб.</t>
  </si>
  <si>
    <t>Основание</t>
  </si>
  <si>
    <t>Федеральное государственное бюджетное учреждение науки Физико-технический институт им. А.Ф. Иоффе Российской академии наук (ФТИ им. А.Ф.Иоффе)</t>
  </si>
  <si>
    <t>Проведение исследований характеристик лазерных модулей на основе вертикально-излучающих лазерных диодов</t>
  </si>
  <si>
    <t>Институт химии силикатов имени И.В.Гребенщикова</t>
  </si>
  <si>
    <t>Разработка отдельных технологических операций изготовления ячеек ядерного магнитного гироскопа.</t>
  </si>
  <si>
    <t>ИТОГО:</t>
  </si>
  <si>
    <t>5 000 000,00</t>
  </si>
  <si>
    <t xml:space="preserve">Расшифровка статьи «Оборудование» </t>
  </si>
  <si>
    <t>Наименование оборудования</t>
  </si>
  <si>
    <t>Ед. изм.</t>
  </si>
  <si>
    <t>Кол-во, шт.</t>
  </si>
  <si>
    <t>Цена за ед. изм., тыс. руб.</t>
  </si>
  <si>
    <t>Общая цена, тыс. руб.</t>
  </si>
  <si>
    <t>Этап 1</t>
  </si>
  <si>
    <t>Анализатор оптического спектра</t>
  </si>
  <si>
    <t>шт.</t>
  </si>
  <si>
    <t>Аудиоанализатор</t>
  </si>
  <si>
    <t>Высоковакуумный турбомолекулярный откачной стенд для работ по проверке на герметичность и напуска смеси газов</t>
  </si>
  <si>
    <t>4.</t>
  </si>
  <si>
    <t>3D принтер с сушилкой для филамента</t>
  </si>
  <si>
    <t>ИТОГО по этапу</t>
  </si>
  <si>
    <t>Этап 2</t>
  </si>
  <si>
    <t>Источник-измеритель</t>
  </si>
  <si>
    <t>Детектор мощности</t>
  </si>
  <si>
    <t>Цифровой осциллограф</t>
  </si>
  <si>
    <t xml:space="preserve">ВСЕГО по статье «Оборудование» </t>
  </si>
  <si>
    <t xml:space="preserve">Расшифровка статьи «Сырье и материалы» </t>
  </si>
  <si>
    <t>Наименование сырья/материала</t>
  </si>
  <si>
    <t>ПКИ для изготовления лабораторного образца ЯМГ (1 шт.)</t>
  </si>
  <si>
    <t>компл.</t>
  </si>
  <si>
    <t>Материалы для изготовления лабораторного образца ЯМГ (1 шт.)</t>
  </si>
  <si>
    <t>Инструменты и расходные материалы для оснащения комплекта технологической аппаратуры</t>
  </si>
  <si>
    <t>ПКИ для изготовления ключевых компонентов экспериментального образца ЯМГ (1 шт.), включая VCSEL-лазеры, пассивные оптические компоненты, фотоприемники</t>
  </si>
  <si>
    <t>5.</t>
  </si>
  <si>
    <t>Материалы для изготовления ключевых компонентов экспериментального образца ЯМГ (1 шт.), материалы магнитных экранов, газовых ячеек</t>
  </si>
  <si>
    <t>ПКИ для изготовления экспериментального образца ЯМГ (1 шт.), включая элементы платы предварительной обработки сигналов</t>
  </si>
  <si>
    <t>Материалы для изготовления экспериментального образца ЯМГ (1 шт.), включая рабочие газы, расходные материалы для термохимической пассивации газовых ячеек</t>
  </si>
  <si>
    <t>Инструменты и расходные материалы для дооснащения комплекта технологической аппаратуры для исследований экспериментального образца ЯМГ</t>
  </si>
  <si>
    <t>ПКИ для изготовления полнофункциональных образцов ЯМГ (6 шт.)</t>
  </si>
  <si>
    <t>Материалы для изготовления полнофункциональных образцов ЯМГ (6 шт.)</t>
  </si>
  <si>
    <t>6.</t>
  </si>
  <si>
    <t>ПКИ для изготовления блока электроники из состава комплекта технологической аппаратуры, включая ПЛИС (FPGA) и микропроцессоры для вычислительного ядра, прецизионные АЦП (32/24-бит), 20-бит R2R ЦАП, прецизионные источники тока и напряжения</t>
  </si>
  <si>
    <t>7.</t>
  </si>
  <si>
    <t>Материалы для сборки и монтажа блока электроники из состава комплекта технологической аппаратуры</t>
  </si>
  <si>
    <t xml:space="preserve">ВСЕГО по статье «Сырье и материалы» </t>
  </si>
  <si>
    <t xml:space="preserve">Документ не получили </t>
  </si>
  <si>
    <t xml:space="preserve">Подготовка материалов, ждем финальную версию </t>
  </si>
  <si>
    <t>Согласовано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</si>
</sst>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#,##0.0"/>
    <numFmt numFmtId="165" formatCode="0.0"/>
    <numFmt numFmtId="167" formatCode="dd\.mm\.yyyy"/>
  </numFmts>
  <fonts count="19" x14ac:knownFonts="1"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2E2B29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  <font>
      <b/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80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/>
    <xf numFmtId="4" fontId="10" fillId="0" borderId="0" xfId="0" applyNumberFormat="1" applyFont="1" applyAlignment="1">
      <alignment horizontal="center" vertical="center" wrapText="1"/>
    </xf>
    <xf numFmtId="0" fontId="13" fillId="0" borderId="0" xfId="1"/>
    <xf numFmtId="0" fontId="13" fillId="0" borderId="0" xfId="1" applyAlignment="1">
      <alignment horizontal="center" vertical="center" wrapText="1"/>
    </xf>
    <xf numFmtId="0" fontId="13" fillId="0" borderId="0" xfId="1" applyAlignment="1">
      <alignment vertical="center" wrapText="1"/>
    </xf>
    <xf numFmtId="164" fontId="13" fillId="0" borderId="0" xfId="1" applyNumberFormat="1" applyAlignment="1">
      <alignment vertical="center" wrapText="1"/>
    </xf>
    <xf numFmtId="0" fontId="13" fillId="0" borderId="0" xfId="1" applyAlignment="1">
      <alignment horizontal="right" vertical="center" wrapText="1"/>
    </xf>
    <xf numFmtId="4" fontId="13" fillId="0" borderId="0" xfId="1" applyNumberFormat="1" applyAlignment="1">
      <alignment horizontal="right" vertical="center" wrapText="1"/>
    </xf>
    <xf numFmtId="165" fontId="13" fillId="0" borderId="0" xfId="1" applyNumberFormat="1"/>
    <xf numFmtId="164" fontId="13" fillId="0" borderId="0" xfId="1" applyNumberFormat="1" applyAlignment="1">
      <alignment horizontal="right" vertical="center" wrapText="1"/>
    </xf>
    <xf numFmtId="0" fontId="13" fillId="0" borderId="0" xfId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3" fillId="0" borderId="0" xfId="1" applyNumberFormat="1"/>
    <xf numFmtId="44" fontId="14" fillId="0" borderId="0" xfId="0" applyNumberFormat="1" applyFont="1" applyAlignment="1">
      <alignment horizontal="center" vertical="center" wrapText="1"/>
    </xf>
    <xf numFmtId="44" fontId="14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4" fontId="11" fillId="0" borderId="0" xfId="0" applyNumberFormat="1" applyFont="1" applyAlignment="1">
      <alignment horizontal="center" vertical="center" wrapText="1"/>
    </xf>
    <xf numFmtId="44" fontId="14" fillId="0" borderId="0" xfId="0" applyNumberFormat="1" applyFont="1" applyAlignment="1">
      <alignment horizontal="center" vertical="center" wrapText="1"/>
    </xf>
    <xf numFmtId="0" fontId="13" fillId="0" borderId="0" xfId="1" applyAlignment="1">
      <alignment horizontal="left" vertical="center"/>
    </xf>
    <xf numFmtId="44" fontId="0" fillId="0" borderId="0" xfId="0" applyNumberFormat="1" applyAlignment="1">
      <alignment horizontal="center" vertical="center" wrapText="1"/>
    </xf>
    <xf numFmtId="44" fontId="14" fillId="0" borderId="0" xfId="0" applyNumberFormat="1" applyFont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167" fontId="17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7" fontId="17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167" fontId="17" fillId="2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167" fontId="17" fillId="4" borderId="1" xfId="0" applyNumberFormat="1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E7E6E6"/>
      <rgbColor rgb="FF0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2028960</xdr:colOff>
      <xdr:row>1</xdr:row>
      <xdr:rowOff>24840</xdr:rowOff>
    </xdr:from>
    <xdr:to>
      <xdr:col>6</xdr:col>
      <xdr:colOff>2104560</xdr:colOff>
      <xdr:row>1</xdr:row>
      <xdr:rowOff>2008909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869642" y="215340"/>
          <a:ext cx="4578327" cy="1984069"/>
        </a:xfrm>
        <a:prstGeom prst="rect">
          <a:avLst/>
        </a:prstGeom>
        <a:solidFill>
          <a:schemeClr val="lt1"/>
        </a:solidFill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УТВЕРЖДАЮ: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Заказчик</a:t>
          </a:r>
          <a:r>
            <a:rPr lang="en-US" sz="1200" b="0" strike="noStrike" spc="-1">
              <a:solidFill>
                <a:srgbClr val="0000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: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ООО «СП «Квант»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Генеральный директор </a:t>
          </a: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 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 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_______________________________/ Н.Г. Кулагина /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"</a:t>
          </a: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____</a:t>
          </a:r>
          <a:r>
            <a:rPr lang="en-US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"</a:t>
          </a: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августа 2026 г. </a:t>
          </a:r>
          <a:endParaRPr lang="en-US" sz="1200" b="0" strike="noStrike" spc="-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76320</xdr:colOff>
      <xdr:row>0</xdr:row>
      <xdr:rowOff>181080</xdr:rowOff>
    </xdr:from>
    <xdr:to>
      <xdr:col>2</xdr:col>
      <xdr:colOff>1392120</xdr:colOff>
      <xdr:row>1</xdr:row>
      <xdr:rowOff>1916906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66883" y="181080"/>
          <a:ext cx="4661456" cy="1926326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СОГЛАСОВАНО: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Исполнитель</a:t>
          </a:r>
          <a:r>
            <a:rPr lang="en-US" sz="1200" b="0" strike="noStrike" spc="-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АО «Концерн «ЦНИИ «Электроприбор»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ru-RU" sz="1200" b="0" strike="noStrike" spc="-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Первый заместитель генерального директора  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 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__________________________/ А.И. Соколов /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200" b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</a:t>
          </a:r>
          <a:r>
            <a:rPr lang="ru-RU" sz="1100" b="0">
              <a:effectLst/>
              <a:latin typeface="+mn-lt"/>
              <a:ea typeface="+mn-ea"/>
              <a:cs typeface="+mn-cs"/>
            </a:rPr>
            <a:t>____</a:t>
          </a:r>
          <a:r>
            <a:rPr lang="en-US" sz="1200" b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 </a:t>
          </a:r>
          <a:r>
            <a:rPr lang="ru-RU" sz="12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августа 2026 г. </a:t>
          </a:r>
          <a:endParaRPr lang="en-US" sz="1200" b="0" strike="noStrike" spc="-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view="pageBreakPreview" topLeftCell="A52" zoomScale="80" zoomScaleNormal="80" zoomScaleSheetLayoutView="80" zoomScalePageLayoutView="80" workbookViewId="0">
      <selection activeCell="B40" sqref="B40"/>
    </sheetView>
  </sheetViews>
  <sheetFormatPr defaultColWidth="8.7109375" defaultRowHeight="15" x14ac:dyDescent="0.25"/>
  <cols>
    <col min="1" max="1" width="11.140625" style="1" customWidth="1"/>
    <col min="2" max="2" width="50.140625" style="2" customWidth="1"/>
    <col min="3" max="3" width="23.28515625" style="3" customWidth="1"/>
    <col min="4" max="4" width="18.5703125" style="1" customWidth="1"/>
    <col min="5" max="5" width="40.85546875" style="2" customWidth="1"/>
    <col min="6" max="6" width="26.85546875" style="1" customWidth="1"/>
    <col min="7" max="7" width="39" style="1" customWidth="1"/>
    <col min="8" max="8" width="42" style="4" customWidth="1"/>
    <col min="9" max="9" width="42" style="2" customWidth="1"/>
  </cols>
  <sheetData>
    <row r="1" spans="1:9" ht="15" customHeight="1" x14ac:dyDescent="0.25"/>
    <row r="2" spans="1:9" ht="166.5" customHeight="1" x14ac:dyDescent="0.25"/>
    <row r="3" spans="1:9" ht="15.75" customHeight="1" x14ac:dyDescent="0.25">
      <c r="A3" s="48" t="s">
        <v>0</v>
      </c>
      <c r="B3" s="44"/>
      <c r="C3" s="45"/>
      <c r="D3" s="46"/>
      <c r="E3" s="44"/>
      <c r="F3" s="46"/>
      <c r="G3" s="46"/>
      <c r="H3" s="13"/>
      <c r="I3" s="13"/>
    </row>
    <row r="4" spans="1:9" ht="36" customHeight="1" x14ac:dyDescent="0.25">
      <c r="A4" s="43" t="s">
        <v>1</v>
      </c>
      <c r="B4" s="44"/>
      <c r="C4" s="45"/>
      <c r="D4" s="46"/>
      <c r="E4" s="44"/>
      <c r="F4" s="46"/>
      <c r="G4" s="46"/>
      <c r="H4" s="9"/>
      <c r="I4" s="9"/>
    </row>
    <row r="5" spans="1:9" ht="15.75" customHeight="1" x14ac:dyDescent="0.25">
      <c r="A5" s="43" t="s">
        <v>2</v>
      </c>
      <c r="B5" s="44"/>
      <c r="C5" s="45"/>
      <c r="D5" s="46"/>
      <c r="E5" s="44"/>
      <c r="F5" s="46"/>
      <c r="G5" s="46"/>
      <c r="H5" s="9"/>
      <c r="I5" s="9"/>
    </row>
    <row r="6" spans="1:9" ht="15.75" customHeight="1" x14ac:dyDescent="0.25">
      <c r="A6" s="43" t="s">
        <v>3</v>
      </c>
      <c r="B6" s="44"/>
      <c r="C6" s="45"/>
      <c r="D6" s="46"/>
      <c r="E6" s="44"/>
      <c r="F6" s="46"/>
      <c r="G6" s="46"/>
      <c r="H6" s="9"/>
      <c r="I6" s="9"/>
    </row>
    <row r="7" spans="1:9" ht="39.75" customHeight="1" x14ac:dyDescent="0.25">
      <c r="A7" s="42" t="s">
        <v>4</v>
      </c>
      <c r="B7" s="44"/>
      <c r="C7" s="45"/>
      <c r="D7" s="46"/>
      <c r="E7" s="44"/>
      <c r="F7" s="46"/>
      <c r="G7" s="46"/>
      <c r="H7" s="14"/>
      <c r="I7" s="14"/>
    </row>
    <row r="8" spans="1:9" ht="15" customHeight="1" x14ac:dyDescent="0.25"/>
    <row r="9" spans="1:9" ht="47.25" customHeight="1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</row>
    <row r="10" spans="1:9" ht="15.75" customHeight="1" x14ac:dyDescent="0.25">
      <c r="A10" s="5" t="s">
        <v>14</v>
      </c>
      <c r="B10" s="6" t="s">
        <v>15</v>
      </c>
      <c r="C10" s="5"/>
      <c r="D10" s="5"/>
      <c r="E10" s="5"/>
      <c r="F10" s="5"/>
      <c r="G10" s="5"/>
      <c r="H10" s="11"/>
      <c r="I10" s="12"/>
    </row>
    <row r="11" spans="1:9" ht="63" customHeight="1" x14ac:dyDescent="0.25">
      <c r="A11" s="5" t="s">
        <v>16</v>
      </c>
      <c r="B11" s="7" t="s">
        <v>17</v>
      </c>
      <c r="C11" s="8" t="s">
        <v>18</v>
      </c>
      <c r="D11" s="31">
        <v>46268</v>
      </c>
      <c r="E11" s="32" t="s">
        <v>19</v>
      </c>
      <c r="F11" s="31">
        <v>46268</v>
      </c>
      <c r="G11" s="8" t="s">
        <v>20</v>
      </c>
      <c r="H11" s="5" t="s">
        <v>21</v>
      </c>
      <c r="I11" s="5" t="s">
        <v>22</v>
      </c>
    </row>
    <row r="12" spans="1:9" ht="63" customHeight="1" x14ac:dyDescent="0.25">
      <c r="A12" s="5" t="s">
        <v>23</v>
      </c>
      <c r="B12" s="7" t="s">
        <v>24</v>
      </c>
      <c r="C12" s="8" t="s">
        <v>25</v>
      </c>
      <c r="D12" s="8" t="s">
        <v>26</v>
      </c>
      <c r="E12" s="32" t="s">
        <v>27</v>
      </c>
      <c r="F12" s="8" t="s">
        <v>26</v>
      </c>
      <c r="G12" s="8" t="s">
        <v>28</v>
      </c>
      <c r="H12" s="5" t="s">
        <v>29</v>
      </c>
      <c r="I12" s="5" t="s">
        <v>30</v>
      </c>
    </row>
    <row r="13" spans="1:9" ht="63" customHeight="1" x14ac:dyDescent="0.25">
      <c r="A13" s="5" t="s">
        <v>31</v>
      </c>
      <c r="B13" s="7" t="s">
        <v>32</v>
      </c>
      <c r="C13" s="8" t="s">
        <v>18</v>
      </c>
      <c r="D13" s="31">
        <v>46268</v>
      </c>
      <c r="E13" s="15" t="s">
        <v>33</v>
      </c>
      <c r="F13" s="31">
        <v>46268</v>
      </c>
      <c r="G13" s="8" t="s">
        <v>20</v>
      </c>
      <c r="H13" s="5"/>
      <c r="I13" s="5"/>
    </row>
    <row r="14" spans="1:9" ht="61.5" customHeight="1" x14ac:dyDescent="0.25">
      <c r="A14" s="5" t="s">
        <v>34</v>
      </c>
      <c r="B14" s="32" t="s">
        <v>35</v>
      </c>
      <c r="C14" s="33" t="s">
        <v>18</v>
      </c>
      <c r="D14" s="33" t="s">
        <v>36</v>
      </c>
      <c r="E14" s="32" t="s">
        <v>37</v>
      </c>
      <c r="F14" s="8" t="s">
        <v>36</v>
      </c>
      <c r="G14" s="8" t="s">
        <v>20</v>
      </c>
      <c r="H14" s="5" t="s">
        <v>38</v>
      </c>
      <c r="I14" s="5" t="s">
        <v>39</v>
      </c>
    </row>
    <row r="15" spans="1:9" ht="110.25" customHeight="1" x14ac:dyDescent="0.25">
      <c r="A15" s="5" t="s">
        <v>40</v>
      </c>
      <c r="B15" s="32" t="s">
        <v>41</v>
      </c>
      <c r="C15" s="33" t="s">
        <v>18</v>
      </c>
      <c r="D15" s="33" t="s">
        <v>36</v>
      </c>
      <c r="E15" s="32" t="s">
        <v>42</v>
      </c>
      <c r="F15" s="8" t="s">
        <v>36</v>
      </c>
      <c r="G15" s="8" t="s">
        <v>43</v>
      </c>
      <c r="H15" s="5" t="s">
        <v>44</v>
      </c>
      <c r="I15" s="5" t="s">
        <v>45</v>
      </c>
    </row>
    <row r="16" spans="1:9" ht="63" customHeight="1" x14ac:dyDescent="0.25">
      <c r="A16" s="5" t="s">
        <v>46</v>
      </c>
      <c r="B16" s="7" t="s">
        <v>47</v>
      </c>
      <c r="C16" s="8" t="s">
        <v>18</v>
      </c>
      <c r="D16" s="8" t="s">
        <v>48</v>
      </c>
      <c r="E16" s="32" t="s">
        <v>49</v>
      </c>
      <c r="F16" s="8" t="s">
        <v>48</v>
      </c>
      <c r="G16" s="8" t="s">
        <v>43</v>
      </c>
      <c r="H16" s="5" t="s">
        <v>50</v>
      </c>
      <c r="I16" s="5" t="s">
        <v>51</v>
      </c>
    </row>
    <row r="17" spans="1:9" ht="63" customHeight="1" x14ac:dyDescent="0.25">
      <c r="A17" s="5" t="s">
        <v>52</v>
      </c>
      <c r="B17" s="7" t="s">
        <v>53</v>
      </c>
      <c r="C17" s="8" t="s">
        <v>18</v>
      </c>
      <c r="D17" s="8" t="s">
        <v>48</v>
      </c>
      <c r="E17" s="32" t="s">
        <v>49</v>
      </c>
      <c r="F17" s="8" t="s">
        <v>48</v>
      </c>
      <c r="G17" s="8" t="s">
        <v>43</v>
      </c>
      <c r="H17" s="5" t="s">
        <v>54</v>
      </c>
      <c r="I17" s="5" t="s">
        <v>55</v>
      </c>
    </row>
    <row r="18" spans="1:9" ht="63" customHeight="1" x14ac:dyDescent="0.25">
      <c r="A18" s="5" t="s">
        <v>56</v>
      </c>
      <c r="B18" s="7" t="s">
        <v>57</v>
      </c>
      <c r="C18" s="8" t="s">
        <v>18</v>
      </c>
      <c r="D18" s="8" t="s">
        <v>48</v>
      </c>
      <c r="E18" s="32" t="s">
        <v>58</v>
      </c>
      <c r="F18" s="8" t="s">
        <v>48</v>
      </c>
      <c r="G18" s="8" t="s">
        <v>59</v>
      </c>
      <c r="H18" s="5" t="s">
        <v>60</v>
      </c>
      <c r="I18" s="5" t="s">
        <v>61</v>
      </c>
    </row>
    <row r="19" spans="1:9" ht="15.75" customHeight="1" x14ac:dyDescent="0.25">
      <c r="A19" s="16" t="s">
        <v>62</v>
      </c>
      <c r="B19" s="47" t="s">
        <v>63</v>
      </c>
      <c r="C19" s="41"/>
      <c r="D19" s="41"/>
      <c r="E19" s="41"/>
      <c r="F19" s="41"/>
      <c r="G19" s="41"/>
      <c r="H19" s="41"/>
      <c r="I19" s="41"/>
    </row>
    <row r="20" spans="1:9" ht="15.75" customHeight="1" x14ac:dyDescent="0.25">
      <c r="A20" s="16" t="s">
        <v>64</v>
      </c>
      <c r="B20" s="6" t="s">
        <v>65</v>
      </c>
      <c r="C20" s="5"/>
      <c r="D20" s="5"/>
      <c r="E20" s="10"/>
      <c r="F20" s="5"/>
      <c r="G20" s="5"/>
      <c r="H20" s="5"/>
      <c r="I20" s="5"/>
    </row>
    <row r="21" spans="1:9" ht="31.5" customHeight="1" x14ac:dyDescent="0.25">
      <c r="A21" s="5" t="s">
        <v>66</v>
      </c>
      <c r="B21" s="7" t="s">
        <v>67</v>
      </c>
      <c r="C21" s="8" t="s">
        <v>18</v>
      </c>
      <c r="D21" s="8" t="s">
        <v>36</v>
      </c>
      <c r="E21" s="40" t="s">
        <v>68</v>
      </c>
      <c r="F21" s="8" t="s">
        <v>36</v>
      </c>
      <c r="G21" s="42" t="s">
        <v>69</v>
      </c>
      <c r="H21" s="5" t="s">
        <v>70</v>
      </c>
      <c r="I21" s="5"/>
    </row>
    <row r="22" spans="1:9" ht="93.75" customHeight="1" x14ac:dyDescent="0.25">
      <c r="A22" s="5" t="s">
        <v>71</v>
      </c>
      <c r="B22" s="7" t="s">
        <v>72</v>
      </c>
      <c r="C22" s="8" t="s">
        <v>18</v>
      </c>
      <c r="D22" s="31">
        <v>46269</v>
      </c>
      <c r="E22" s="41"/>
      <c r="F22" s="31">
        <v>46269</v>
      </c>
      <c r="G22" s="41"/>
      <c r="H22" s="5" t="s">
        <v>73</v>
      </c>
      <c r="I22" s="5"/>
    </row>
    <row r="23" spans="1:9" ht="121.5" customHeight="1" x14ac:dyDescent="0.25">
      <c r="A23" s="5" t="s">
        <v>74</v>
      </c>
      <c r="B23" s="7" t="s">
        <v>75</v>
      </c>
      <c r="C23" s="8" t="s">
        <v>18</v>
      </c>
      <c r="D23" s="8" t="s">
        <v>76</v>
      </c>
      <c r="E23" s="41"/>
      <c r="F23" s="8" t="s">
        <v>77</v>
      </c>
      <c r="G23" s="41"/>
      <c r="H23" s="5" t="s">
        <v>78</v>
      </c>
      <c r="I23" s="5"/>
    </row>
    <row r="24" spans="1:9" ht="122.25" customHeight="1" x14ac:dyDescent="0.25">
      <c r="A24" s="5" t="s">
        <v>79</v>
      </c>
      <c r="B24" s="7" t="s">
        <v>80</v>
      </c>
      <c r="C24" s="8" t="s">
        <v>18</v>
      </c>
      <c r="D24" s="8" t="s">
        <v>81</v>
      </c>
      <c r="E24" s="41"/>
      <c r="F24" s="8" t="s">
        <v>77</v>
      </c>
      <c r="G24" s="41"/>
      <c r="H24" s="5" t="s">
        <v>78</v>
      </c>
      <c r="I24" s="5"/>
    </row>
    <row r="25" spans="1:9" ht="110.25" customHeight="1" x14ac:dyDescent="0.25">
      <c r="A25" s="5" t="s">
        <v>82</v>
      </c>
      <c r="B25" s="7" t="s">
        <v>83</v>
      </c>
      <c r="C25" s="8" t="s">
        <v>18</v>
      </c>
      <c r="D25" s="8" t="s">
        <v>84</v>
      </c>
      <c r="E25" s="41"/>
      <c r="F25" s="8" t="s">
        <v>77</v>
      </c>
      <c r="G25" s="41"/>
      <c r="H25" s="5" t="s">
        <v>85</v>
      </c>
      <c r="I25" s="5" t="s">
        <v>86</v>
      </c>
    </row>
    <row r="26" spans="1:9" ht="58.5" customHeight="1" x14ac:dyDescent="0.25">
      <c r="A26" s="5" t="s">
        <v>87</v>
      </c>
      <c r="B26" s="7" t="s">
        <v>88</v>
      </c>
      <c r="C26" s="8" t="s">
        <v>18</v>
      </c>
      <c r="D26" s="8" t="s">
        <v>36</v>
      </c>
      <c r="E26" s="41"/>
      <c r="F26" s="8" t="s">
        <v>36</v>
      </c>
      <c r="G26" s="41"/>
      <c r="H26" s="5" t="s">
        <v>89</v>
      </c>
      <c r="I26" s="5"/>
    </row>
    <row r="27" spans="1:9" ht="42" customHeight="1" x14ac:dyDescent="0.25">
      <c r="A27" s="5" t="s">
        <v>90</v>
      </c>
      <c r="B27" s="7" t="s">
        <v>91</v>
      </c>
      <c r="C27" s="8" t="s">
        <v>18</v>
      </c>
      <c r="D27" s="8" t="s">
        <v>36</v>
      </c>
      <c r="E27" s="40" t="s">
        <v>92</v>
      </c>
      <c r="F27" s="42" t="s">
        <v>36</v>
      </c>
      <c r="G27" s="42" t="s">
        <v>69</v>
      </c>
      <c r="H27" s="5" t="s">
        <v>93</v>
      </c>
      <c r="I27" s="5"/>
    </row>
    <row r="28" spans="1:9" ht="50.1" customHeight="1" x14ac:dyDescent="0.25">
      <c r="A28" s="5" t="s">
        <v>94</v>
      </c>
      <c r="B28" s="7" t="s">
        <v>95</v>
      </c>
      <c r="C28" s="8" t="s">
        <v>18</v>
      </c>
      <c r="D28" s="8" t="s">
        <v>96</v>
      </c>
      <c r="E28" s="41"/>
      <c r="F28" s="41"/>
      <c r="G28" s="41"/>
      <c r="H28" s="5" t="s">
        <v>97</v>
      </c>
      <c r="I28" s="5"/>
    </row>
    <row r="29" spans="1:9" ht="50.1" customHeight="1" x14ac:dyDescent="0.25">
      <c r="A29" s="5" t="s">
        <v>98</v>
      </c>
      <c r="B29" s="7" t="s">
        <v>99</v>
      </c>
      <c r="C29" s="8" t="s">
        <v>18</v>
      </c>
      <c r="D29" s="8" t="s">
        <v>76</v>
      </c>
      <c r="E29" s="41"/>
      <c r="F29" s="41"/>
      <c r="G29" s="41"/>
      <c r="H29" s="5" t="s">
        <v>100</v>
      </c>
      <c r="I29" s="5"/>
    </row>
    <row r="30" spans="1:9" ht="50.1" customHeight="1" x14ac:dyDescent="0.25">
      <c r="A30" s="5" t="s">
        <v>101</v>
      </c>
      <c r="B30" s="7" t="s">
        <v>102</v>
      </c>
      <c r="C30" s="8" t="s">
        <v>18</v>
      </c>
      <c r="D30" s="8" t="s">
        <v>103</v>
      </c>
      <c r="E30" s="41"/>
      <c r="F30" s="41"/>
      <c r="G30" s="41"/>
      <c r="H30" s="5" t="s">
        <v>104</v>
      </c>
      <c r="I30" s="5"/>
    </row>
    <row r="31" spans="1:9" ht="50.1" customHeight="1" x14ac:dyDescent="0.25">
      <c r="A31" s="5" t="s">
        <v>105</v>
      </c>
      <c r="B31" s="7" t="s">
        <v>106</v>
      </c>
      <c r="C31" s="8" t="s">
        <v>18</v>
      </c>
      <c r="D31" s="8" t="s">
        <v>81</v>
      </c>
      <c r="E31" s="41"/>
      <c r="F31" s="41"/>
      <c r="G31" s="41"/>
      <c r="H31" s="5" t="s">
        <v>107</v>
      </c>
      <c r="I31" s="5"/>
    </row>
    <row r="32" spans="1:9" ht="50.1" customHeight="1" x14ac:dyDescent="0.25">
      <c r="A32" s="5" t="s">
        <v>108</v>
      </c>
      <c r="B32" s="7" t="s">
        <v>109</v>
      </c>
      <c r="C32" s="8" t="s">
        <v>18</v>
      </c>
      <c r="D32" s="8" t="s">
        <v>84</v>
      </c>
      <c r="E32" s="41"/>
      <c r="F32" s="41"/>
      <c r="G32" s="41"/>
      <c r="H32" s="5" t="s">
        <v>110</v>
      </c>
      <c r="I32" s="5"/>
    </row>
    <row r="33" spans="1:9" ht="50.1" customHeight="1" x14ac:dyDescent="0.25">
      <c r="A33" s="5" t="s">
        <v>111</v>
      </c>
      <c r="B33" s="7" t="s">
        <v>112</v>
      </c>
      <c r="C33" s="8" t="s">
        <v>18</v>
      </c>
      <c r="D33" s="8" t="s">
        <v>36</v>
      </c>
      <c r="E33" s="41"/>
      <c r="F33" s="41"/>
      <c r="G33" s="41"/>
      <c r="H33" s="5" t="s">
        <v>89</v>
      </c>
      <c r="I33" s="5"/>
    </row>
    <row r="34" spans="1:9" ht="69.75" customHeight="1" x14ac:dyDescent="0.25">
      <c r="A34" s="5" t="s">
        <v>113</v>
      </c>
      <c r="B34" s="7" t="s">
        <v>114</v>
      </c>
      <c r="C34" s="8" t="s">
        <v>25</v>
      </c>
      <c r="D34" s="8" t="s">
        <v>115</v>
      </c>
      <c r="E34" s="7" t="s">
        <v>116</v>
      </c>
      <c r="F34" s="8" t="s">
        <v>115</v>
      </c>
      <c r="G34" s="8" t="s">
        <v>117</v>
      </c>
      <c r="H34" s="5" t="s">
        <v>118</v>
      </c>
      <c r="I34" s="5" t="s">
        <v>119</v>
      </c>
    </row>
    <row r="35" spans="1:9" ht="72.75" customHeight="1" x14ac:dyDescent="0.25">
      <c r="A35" s="5" t="s">
        <v>120</v>
      </c>
      <c r="B35" s="7" t="s">
        <v>121</v>
      </c>
      <c r="C35" s="8" t="s">
        <v>122</v>
      </c>
      <c r="D35" s="31">
        <v>46269</v>
      </c>
      <c r="E35" s="7" t="s">
        <v>123</v>
      </c>
      <c r="F35" s="31">
        <v>46269</v>
      </c>
      <c r="G35" s="8" t="s">
        <v>124</v>
      </c>
      <c r="H35" s="5" t="s">
        <v>125</v>
      </c>
      <c r="I35" s="5" t="s">
        <v>126</v>
      </c>
    </row>
    <row r="36" spans="1:9" ht="83.25" customHeight="1" x14ac:dyDescent="0.25">
      <c r="A36" s="5" t="s">
        <v>127</v>
      </c>
      <c r="B36" s="7" t="s">
        <v>128</v>
      </c>
      <c r="C36" s="8" t="s">
        <v>122</v>
      </c>
      <c r="D36" s="31">
        <v>46269</v>
      </c>
      <c r="E36" s="7" t="s">
        <v>129</v>
      </c>
      <c r="F36" s="31">
        <v>46269</v>
      </c>
      <c r="G36" s="8" t="s">
        <v>124</v>
      </c>
      <c r="H36" s="5"/>
      <c r="I36" s="5"/>
    </row>
    <row r="37" spans="1:9" ht="173.25" customHeight="1" x14ac:dyDescent="0.25">
      <c r="A37" s="5" t="s">
        <v>130</v>
      </c>
      <c r="B37" s="15" t="s">
        <v>131</v>
      </c>
      <c r="C37" s="5" t="s">
        <v>132</v>
      </c>
      <c r="D37" s="33" t="s">
        <v>36</v>
      </c>
      <c r="E37" s="7" t="s">
        <v>133</v>
      </c>
      <c r="F37" s="8" t="s">
        <v>36</v>
      </c>
      <c r="G37" s="8" t="s">
        <v>134</v>
      </c>
      <c r="H37" s="5" t="s">
        <v>135</v>
      </c>
      <c r="I37" s="5" t="s">
        <v>136</v>
      </c>
    </row>
    <row r="38" spans="1:9" ht="78.75" customHeight="1" x14ac:dyDescent="0.25">
      <c r="A38" s="5" t="s">
        <v>137</v>
      </c>
      <c r="B38" s="15" t="s">
        <v>138</v>
      </c>
      <c r="C38" s="33" t="s">
        <v>18</v>
      </c>
      <c r="D38" s="33" t="s">
        <v>139</v>
      </c>
      <c r="E38" s="7" t="s">
        <v>140</v>
      </c>
      <c r="F38" s="33" t="s">
        <v>77</v>
      </c>
      <c r="G38" s="8" t="s">
        <v>140</v>
      </c>
      <c r="H38" s="5" t="s">
        <v>89</v>
      </c>
      <c r="I38" s="5" t="s">
        <v>141</v>
      </c>
    </row>
    <row r="39" spans="1:9" ht="86.25" customHeight="1" x14ac:dyDescent="0.25">
      <c r="A39" s="5" t="s">
        <v>142</v>
      </c>
      <c r="B39" s="7" t="s">
        <v>143</v>
      </c>
      <c r="C39" s="8" t="s">
        <v>18</v>
      </c>
      <c r="D39" s="8" t="s">
        <v>36</v>
      </c>
      <c r="E39" s="7" t="s">
        <v>144</v>
      </c>
      <c r="F39" s="8" t="s">
        <v>77</v>
      </c>
      <c r="G39" s="8" t="s">
        <v>145</v>
      </c>
      <c r="H39" s="5" t="s">
        <v>146</v>
      </c>
      <c r="I39" s="5" t="s">
        <v>147</v>
      </c>
    </row>
    <row r="40" spans="1:9" ht="87.75" customHeight="1" x14ac:dyDescent="0.25">
      <c r="A40" s="5" t="s">
        <v>148</v>
      </c>
      <c r="B40" s="7" t="s">
        <v>149</v>
      </c>
      <c r="C40" s="8" t="s">
        <v>25</v>
      </c>
      <c r="D40" s="8" t="s">
        <v>36</v>
      </c>
      <c r="E40" s="7" t="s">
        <v>150</v>
      </c>
      <c r="F40" s="8" t="s">
        <v>36</v>
      </c>
      <c r="G40" s="8" t="s">
        <v>151</v>
      </c>
      <c r="H40" s="5" t="s">
        <v>152</v>
      </c>
      <c r="I40" s="5" t="s">
        <v>153</v>
      </c>
    </row>
    <row r="41" spans="1:9" ht="15.75" customHeight="1" x14ac:dyDescent="0.25">
      <c r="A41" s="16" t="s">
        <v>154</v>
      </c>
      <c r="B41" s="50" t="s">
        <v>155</v>
      </c>
      <c r="C41" s="41"/>
      <c r="D41" s="41"/>
      <c r="E41" s="41"/>
      <c r="F41" s="41"/>
      <c r="G41" s="41"/>
      <c r="H41" s="41"/>
      <c r="I41" s="41"/>
    </row>
    <row r="42" spans="1:9" ht="98.25" customHeight="1" x14ac:dyDescent="0.25">
      <c r="A42" s="5" t="s">
        <v>156</v>
      </c>
      <c r="B42" s="7" t="s">
        <v>157</v>
      </c>
      <c r="C42" s="8" t="s">
        <v>158</v>
      </c>
      <c r="D42" s="8" t="s">
        <v>159</v>
      </c>
      <c r="E42" s="8" t="s">
        <v>160</v>
      </c>
      <c r="F42" s="8" t="s">
        <v>77</v>
      </c>
      <c r="G42" s="8" t="s">
        <v>161</v>
      </c>
      <c r="H42" s="5" t="s">
        <v>162</v>
      </c>
      <c r="I42" s="5" t="s">
        <v>163</v>
      </c>
    </row>
    <row r="43" spans="1:9" ht="78.75" customHeight="1" x14ac:dyDescent="0.25">
      <c r="A43" s="5" t="s">
        <v>164</v>
      </c>
      <c r="B43" s="7" t="s">
        <v>165</v>
      </c>
      <c r="C43" s="8" t="s">
        <v>166</v>
      </c>
      <c r="D43" s="31">
        <v>46342</v>
      </c>
      <c r="E43" s="7" t="s">
        <v>167</v>
      </c>
      <c r="F43" s="8" t="s">
        <v>77</v>
      </c>
      <c r="G43" s="8" t="s">
        <v>168</v>
      </c>
      <c r="H43" s="5"/>
      <c r="I43" s="5" t="s">
        <v>169</v>
      </c>
    </row>
    <row r="44" spans="1:9" ht="113.25" customHeight="1" x14ac:dyDescent="0.25">
      <c r="A44" s="5" t="s">
        <v>170</v>
      </c>
      <c r="B44" s="7" t="s">
        <v>171</v>
      </c>
      <c r="C44" s="8" t="s">
        <v>18</v>
      </c>
      <c r="D44" s="8" t="s">
        <v>172</v>
      </c>
      <c r="E44" s="40" t="s">
        <v>173</v>
      </c>
      <c r="F44" s="31">
        <v>46353</v>
      </c>
      <c r="G44" s="42" t="s">
        <v>69</v>
      </c>
      <c r="H44" s="5" t="s">
        <v>93</v>
      </c>
      <c r="I44" s="5" t="s">
        <v>174</v>
      </c>
    </row>
    <row r="45" spans="1:9" ht="47.25" customHeight="1" x14ac:dyDescent="0.25">
      <c r="A45" s="5" t="s">
        <v>175</v>
      </c>
      <c r="B45" s="7" t="s">
        <v>176</v>
      </c>
      <c r="C45" s="8" t="s">
        <v>18</v>
      </c>
      <c r="D45" s="8" t="s">
        <v>177</v>
      </c>
      <c r="E45" s="41"/>
      <c r="F45" s="8" t="s">
        <v>77</v>
      </c>
      <c r="G45" s="41"/>
      <c r="H45" s="5" t="s">
        <v>178</v>
      </c>
      <c r="I45" s="5"/>
    </row>
    <row r="46" spans="1:9" ht="94.5" customHeight="1" x14ac:dyDescent="0.25">
      <c r="A46" s="5" t="s">
        <v>179</v>
      </c>
      <c r="B46" s="7" t="s">
        <v>180</v>
      </c>
      <c r="C46" s="8" t="s">
        <v>18</v>
      </c>
      <c r="D46" s="8" t="s">
        <v>181</v>
      </c>
      <c r="E46" s="41"/>
      <c r="F46" s="8" t="s">
        <v>77</v>
      </c>
      <c r="G46" s="41"/>
      <c r="H46" s="5" t="s">
        <v>104</v>
      </c>
      <c r="I46" s="5"/>
    </row>
    <row r="47" spans="1:9" ht="47.25" customHeight="1" x14ac:dyDescent="0.25">
      <c r="A47" s="5" t="s">
        <v>182</v>
      </c>
      <c r="B47" s="7" t="s">
        <v>183</v>
      </c>
      <c r="C47" s="8" t="s">
        <v>18</v>
      </c>
      <c r="D47" s="8" t="s">
        <v>184</v>
      </c>
      <c r="E47" s="41"/>
      <c r="F47" s="8" t="s">
        <v>77</v>
      </c>
      <c r="G47" s="41"/>
      <c r="H47" s="5" t="s">
        <v>107</v>
      </c>
      <c r="I47" s="5"/>
    </row>
    <row r="48" spans="1:9" ht="31.5" customHeight="1" x14ac:dyDescent="0.25">
      <c r="A48" s="5" t="s">
        <v>185</v>
      </c>
      <c r="B48" s="7" t="s">
        <v>186</v>
      </c>
      <c r="C48" s="8" t="s">
        <v>18</v>
      </c>
      <c r="D48" s="8" t="s">
        <v>187</v>
      </c>
      <c r="E48" s="41"/>
      <c r="F48" s="8" t="s">
        <v>77</v>
      </c>
      <c r="G48" s="41"/>
      <c r="H48" s="5" t="s">
        <v>110</v>
      </c>
      <c r="I48" s="5"/>
    </row>
    <row r="49" spans="1:9" ht="47.25" customHeight="1" x14ac:dyDescent="0.25">
      <c r="A49" s="5" t="s">
        <v>188</v>
      </c>
      <c r="B49" s="7" t="s">
        <v>189</v>
      </c>
      <c r="C49" s="8" t="s">
        <v>18</v>
      </c>
      <c r="D49" s="8" t="s">
        <v>190</v>
      </c>
      <c r="E49" s="41"/>
      <c r="F49" s="8" t="s">
        <v>77</v>
      </c>
      <c r="G49" s="41"/>
      <c r="H49" s="5" t="s">
        <v>191</v>
      </c>
      <c r="I49" s="5"/>
    </row>
    <row r="50" spans="1:9" ht="47.25" customHeight="1" x14ac:dyDescent="0.25">
      <c r="A50" s="5" t="s">
        <v>192</v>
      </c>
      <c r="B50" s="7" t="s">
        <v>193</v>
      </c>
      <c r="C50" s="8" t="s">
        <v>18</v>
      </c>
      <c r="D50" s="8" t="s">
        <v>172</v>
      </c>
      <c r="E50" s="41"/>
      <c r="F50" s="31">
        <v>46353</v>
      </c>
      <c r="G50" s="41"/>
      <c r="H50" s="5" t="s">
        <v>89</v>
      </c>
      <c r="I50" s="5"/>
    </row>
    <row r="51" spans="1:9" ht="47.25" customHeight="1" x14ac:dyDescent="0.25">
      <c r="A51" s="5" t="s">
        <v>194</v>
      </c>
      <c r="B51" s="7" t="s">
        <v>195</v>
      </c>
      <c r="C51" s="8" t="s">
        <v>18</v>
      </c>
      <c r="D51" s="31">
        <v>46353</v>
      </c>
      <c r="E51" s="40" t="s">
        <v>196</v>
      </c>
      <c r="F51" s="8" t="s">
        <v>197</v>
      </c>
      <c r="G51" s="42" t="s">
        <v>69</v>
      </c>
      <c r="H51" s="5" t="s">
        <v>198</v>
      </c>
      <c r="I51" s="5"/>
    </row>
    <row r="52" spans="1:9" ht="78.75" customHeight="1" x14ac:dyDescent="0.25">
      <c r="A52" s="5" t="s">
        <v>199</v>
      </c>
      <c r="B52" s="7" t="s">
        <v>200</v>
      </c>
      <c r="C52" s="8" t="s">
        <v>18</v>
      </c>
      <c r="D52" s="8" t="s">
        <v>181</v>
      </c>
      <c r="E52" s="41"/>
      <c r="F52" s="8" t="s">
        <v>77</v>
      </c>
      <c r="G52" s="41"/>
      <c r="H52" s="5" t="s">
        <v>201</v>
      </c>
      <c r="I52" s="5"/>
    </row>
    <row r="53" spans="1:9" ht="63" customHeight="1" x14ac:dyDescent="0.25">
      <c r="A53" s="5" t="s">
        <v>202</v>
      </c>
      <c r="B53" s="7" t="s">
        <v>203</v>
      </c>
      <c r="C53" s="8" t="s">
        <v>18</v>
      </c>
      <c r="D53" s="8" t="s">
        <v>184</v>
      </c>
      <c r="E53" s="41"/>
      <c r="F53" s="8" t="s">
        <v>77</v>
      </c>
      <c r="G53" s="41"/>
      <c r="H53" s="5" t="s">
        <v>89</v>
      </c>
      <c r="I53" s="5"/>
    </row>
    <row r="54" spans="1:9" ht="47.25" customHeight="1" x14ac:dyDescent="0.25">
      <c r="A54" s="5" t="s">
        <v>204</v>
      </c>
      <c r="B54" s="7" t="s">
        <v>205</v>
      </c>
      <c r="C54" s="8" t="s">
        <v>18</v>
      </c>
      <c r="D54" s="8" t="s">
        <v>187</v>
      </c>
      <c r="E54" s="41"/>
      <c r="F54" s="8" t="s">
        <v>77</v>
      </c>
      <c r="G54" s="41"/>
      <c r="H54" s="5" t="s">
        <v>89</v>
      </c>
      <c r="I54" s="5"/>
    </row>
    <row r="55" spans="1:9" ht="31.5" customHeight="1" x14ac:dyDescent="0.25">
      <c r="A55" s="5" t="s">
        <v>206</v>
      </c>
      <c r="B55" s="7" t="s">
        <v>207</v>
      </c>
      <c r="C55" s="8" t="s">
        <v>18</v>
      </c>
      <c r="D55" s="8" t="s">
        <v>172</v>
      </c>
      <c r="E55" s="41"/>
      <c r="F55" s="8" t="s">
        <v>77</v>
      </c>
      <c r="G55" s="41"/>
      <c r="H55" s="5" t="s">
        <v>89</v>
      </c>
      <c r="I55" s="5"/>
    </row>
    <row r="56" spans="1:9" ht="31.5" customHeight="1" x14ac:dyDescent="0.25">
      <c r="A56" s="5" t="s">
        <v>208</v>
      </c>
      <c r="B56" s="7" t="s">
        <v>209</v>
      </c>
      <c r="C56" s="8" t="s">
        <v>18</v>
      </c>
      <c r="D56" s="31">
        <v>46353</v>
      </c>
      <c r="E56" s="41"/>
      <c r="F56" s="8" t="s">
        <v>197</v>
      </c>
      <c r="G56" s="41"/>
      <c r="H56" s="5" t="s">
        <v>89</v>
      </c>
      <c r="I56" s="5"/>
    </row>
    <row r="57" spans="1:9" ht="50.1" customHeight="1" x14ac:dyDescent="0.25">
      <c r="A57" s="5" t="s">
        <v>210</v>
      </c>
      <c r="B57" s="7" t="s">
        <v>211</v>
      </c>
      <c r="C57" s="8" t="s">
        <v>18</v>
      </c>
      <c r="D57" s="31">
        <v>46353</v>
      </c>
      <c r="E57" s="40" t="s">
        <v>212</v>
      </c>
      <c r="F57" s="8" t="s">
        <v>197</v>
      </c>
      <c r="G57" s="42" t="s">
        <v>69</v>
      </c>
      <c r="H57" s="5" t="s">
        <v>213</v>
      </c>
      <c r="I57" s="5" t="s">
        <v>214</v>
      </c>
    </row>
    <row r="58" spans="1:9" ht="47.25" customHeight="1" x14ac:dyDescent="0.25">
      <c r="A58" s="5" t="s">
        <v>215</v>
      </c>
      <c r="B58" s="7" t="s">
        <v>216</v>
      </c>
      <c r="C58" s="8" t="s">
        <v>18</v>
      </c>
      <c r="D58" s="8" t="s">
        <v>184</v>
      </c>
      <c r="E58" s="41"/>
      <c r="F58" s="8" t="s">
        <v>77</v>
      </c>
      <c r="G58" s="41"/>
      <c r="H58" s="5" t="s">
        <v>89</v>
      </c>
      <c r="I58" s="5"/>
    </row>
    <row r="59" spans="1:9" ht="63" customHeight="1" x14ac:dyDescent="0.25">
      <c r="A59" s="5" t="s">
        <v>217</v>
      </c>
      <c r="B59" s="7" t="s">
        <v>218</v>
      </c>
      <c r="C59" s="8" t="s">
        <v>18</v>
      </c>
      <c r="D59" s="8" t="s">
        <v>187</v>
      </c>
      <c r="E59" s="41"/>
      <c r="F59" s="8" t="s">
        <v>197</v>
      </c>
      <c r="G59" s="41"/>
      <c r="H59" s="5" t="s">
        <v>89</v>
      </c>
      <c r="I59" s="5" t="s">
        <v>219</v>
      </c>
    </row>
    <row r="60" spans="1:9" ht="101.25" customHeight="1" x14ac:dyDescent="0.25">
      <c r="A60" s="5" t="s">
        <v>220</v>
      </c>
      <c r="B60" s="7" t="s">
        <v>221</v>
      </c>
      <c r="C60" s="8" t="s">
        <v>18</v>
      </c>
      <c r="D60" s="8" t="s">
        <v>172</v>
      </c>
      <c r="E60" s="41"/>
      <c r="F60" s="31">
        <v>46353</v>
      </c>
      <c r="G60" s="41"/>
      <c r="H60" s="5" t="s">
        <v>222</v>
      </c>
      <c r="I60" s="5"/>
    </row>
    <row r="61" spans="1:9" ht="101.25" customHeight="1" x14ac:dyDescent="0.25">
      <c r="A61" s="5" t="s">
        <v>223</v>
      </c>
      <c r="B61" s="7" t="s">
        <v>224</v>
      </c>
      <c r="C61" s="8" t="s">
        <v>25</v>
      </c>
      <c r="D61" s="31">
        <v>46350</v>
      </c>
      <c r="E61" s="7" t="s">
        <v>225</v>
      </c>
      <c r="F61" s="31">
        <v>46350</v>
      </c>
      <c r="G61" s="8" t="s">
        <v>226</v>
      </c>
      <c r="H61" s="5" t="s">
        <v>227</v>
      </c>
      <c r="I61" s="5" t="s">
        <v>228</v>
      </c>
    </row>
    <row r="62" spans="1:9" ht="101.25" customHeight="1" x14ac:dyDescent="0.25">
      <c r="A62" s="5" t="s">
        <v>229</v>
      </c>
      <c r="B62" s="7" t="s">
        <v>230</v>
      </c>
      <c r="C62" s="8" t="s">
        <v>25</v>
      </c>
      <c r="D62" s="31">
        <v>46356</v>
      </c>
      <c r="E62" s="8" t="s">
        <v>231</v>
      </c>
      <c r="F62" s="31">
        <v>46356</v>
      </c>
      <c r="G62" s="8" t="s">
        <v>232</v>
      </c>
      <c r="H62" s="5"/>
      <c r="I62" s="5"/>
    </row>
    <row r="63" spans="1:9" ht="78.75" customHeight="1" x14ac:dyDescent="0.25">
      <c r="A63" s="5" t="s">
        <v>233</v>
      </c>
      <c r="B63" s="7" t="s">
        <v>234</v>
      </c>
      <c r="C63" s="8" t="s">
        <v>18</v>
      </c>
      <c r="D63" s="31">
        <v>46353</v>
      </c>
      <c r="E63" s="7" t="s">
        <v>235</v>
      </c>
      <c r="F63" s="8" t="s">
        <v>77</v>
      </c>
      <c r="G63" s="8" t="s">
        <v>235</v>
      </c>
      <c r="H63" s="5" t="s">
        <v>236</v>
      </c>
      <c r="I63" s="5" t="s">
        <v>237</v>
      </c>
    </row>
    <row r="64" spans="1:9" ht="94.5" customHeight="1" x14ac:dyDescent="0.25">
      <c r="A64" s="5" t="s">
        <v>238</v>
      </c>
      <c r="B64" s="7" t="s">
        <v>239</v>
      </c>
      <c r="C64" s="8" t="s">
        <v>18</v>
      </c>
      <c r="D64" s="31">
        <v>46353</v>
      </c>
      <c r="E64" s="7" t="s">
        <v>235</v>
      </c>
      <c r="F64" s="8" t="s">
        <v>77</v>
      </c>
      <c r="G64" s="8" t="s">
        <v>235</v>
      </c>
      <c r="H64" s="5" t="s">
        <v>89</v>
      </c>
      <c r="I64" s="5" t="s">
        <v>240</v>
      </c>
    </row>
    <row r="65" spans="1:9" ht="158.25" customHeight="1" x14ac:dyDescent="0.25">
      <c r="A65" s="5" t="s">
        <v>241</v>
      </c>
      <c r="B65" s="7" t="s">
        <v>242</v>
      </c>
      <c r="C65" s="8" t="s">
        <v>18</v>
      </c>
      <c r="D65" s="8" t="s">
        <v>243</v>
      </c>
      <c r="E65" s="7" t="s">
        <v>244</v>
      </c>
      <c r="F65" s="8" t="s">
        <v>197</v>
      </c>
      <c r="G65" s="8" t="s">
        <v>69</v>
      </c>
      <c r="H65" s="5" t="s">
        <v>245</v>
      </c>
      <c r="I65" s="5" t="s">
        <v>246</v>
      </c>
    </row>
    <row r="66" spans="1:9" ht="63" customHeight="1" x14ac:dyDescent="0.25">
      <c r="A66" s="5" t="s">
        <v>247</v>
      </c>
      <c r="B66" s="7" t="s">
        <v>248</v>
      </c>
      <c r="C66" s="8" t="s">
        <v>18</v>
      </c>
      <c r="D66" s="31">
        <v>46353</v>
      </c>
      <c r="E66" s="7" t="s">
        <v>249</v>
      </c>
      <c r="F66" s="31">
        <v>46356</v>
      </c>
      <c r="G66" s="8" t="s">
        <v>69</v>
      </c>
      <c r="H66" s="5" t="s">
        <v>250</v>
      </c>
      <c r="I66" s="5"/>
    </row>
    <row r="67" spans="1:9" ht="47.25" customHeight="1" x14ac:dyDescent="0.25">
      <c r="A67" s="5" t="s">
        <v>251</v>
      </c>
      <c r="B67" s="7" t="s">
        <v>252</v>
      </c>
      <c r="C67" s="8" t="s">
        <v>18</v>
      </c>
      <c r="D67" s="31">
        <v>46356</v>
      </c>
      <c r="E67" s="7" t="s">
        <v>253</v>
      </c>
      <c r="F67" s="31">
        <v>46357</v>
      </c>
      <c r="G67" s="8" t="s">
        <v>69</v>
      </c>
      <c r="H67" s="5" t="s">
        <v>254</v>
      </c>
      <c r="I67" s="5"/>
    </row>
    <row r="69" spans="1:9" ht="15.75" customHeight="1" x14ac:dyDescent="0.25">
      <c r="A69" s="16" t="s">
        <v>255</v>
      </c>
      <c r="B69" s="47" t="s">
        <v>256</v>
      </c>
      <c r="C69" s="41"/>
      <c r="D69" s="41"/>
      <c r="E69" s="41"/>
      <c r="F69" s="41"/>
      <c r="G69" s="41"/>
      <c r="H69" s="41"/>
      <c r="I69" s="41"/>
    </row>
    <row r="70" spans="1:9" ht="88.5" customHeight="1" x14ac:dyDescent="0.25">
      <c r="A70" s="5" t="s">
        <v>257</v>
      </c>
      <c r="B70" s="7" t="s">
        <v>258</v>
      </c>
      <c r="C70" s="8" t="s">
        <v>18</v>
      </c>
      <c r="D70" s="8" t="s">
        <v>197</v>
      </c>
      <c r="E70" s="7" t="s">
        <v>259</v>
      </c>
      <c r="F70" s="8" t="s">
        <v>260</v>
      </c>
      <c r="G70" s="8" t="s">
        <v>261</v>
      </c>
      <c r="H70" s="5" t="s">
        <v>262</v>
      </c>
      <c r="I70" s="5" t="s">
        <v>263</v>
      </c>
    </row>
    <row r="71" spans="1:9" ht="294.75" customHeight="1" x14ac:dyDescent="0.25">
      <c r="A71" s="5" t="s">
        <v>264</v>
      </c>
      <c r="B71" s="7" t="s">
        <v>265</v>
      </c>
      <c r="C71" s="8" t="s">
        <v>18</v>
      </c>
      <c r="D71" s="31">
        <v>46386</v>
      </c>
      <c r="E71" s="14" t="s">
        <v>266</v>
      </c>
      <c r="F71" s="31">
        <v>46398</v>
      </c>
      <c r="G71" s="8" t="s">
        <v>69</v>
      </c>
      <c r="H71" s="5" t="s">
        <v>267</v>
      </c>
      <c r="I71" s="5" t="s">
        <v>268</v>
      </c>
    </row>
    <row r="72" spans="1:9" ht="62.25" customHeight="1" x14ac:dyDescent="0.25">
      <c r="A72" s="5" t="s">
        <v>269</v>
      </c>
      <c r="B72" s="7" t="s">
        <v>270</v>
      </c>
      <c r="C72" s="8" t="s">
        <v>18</v>
      </c>
      <c r="D72" s="8" t="s">
        <v>271</v>
      </c>
      <c r="E72" s="14" t="s">
        <v>272</v>
      </c>
      <c r="F72" s="8" t="s">
        <v>271</v>
      </c>
      <c r="G72" s="8" t="s">
        <v>69</v>
      </c>
      <c r="H72" s="5" t="s">
        <v>273</v>
      </c>
      <c r="I72" s="5" t="s">
        <v>274</v>
      </c>
    </row>
    <row r="73" spans="1:9" ht="47.25" customHeight="1" x14ac:dyDescent="0.25">
      <c r="A73" s="5" t="s">
        <v>275</v>
      </c>
      <c r="B73" s="7" t="s">
        <v>276</v>
      </c>
      <c r="C73" s="8" t="s">
        <v>18</v>
      </c>
      <c r="D73" s="8" t="s">
        <v>277</v>
      </c>
      <c r="E73" s="14" t="s">
        <v>278</v>
      </c>
      <c r="F73" s="8" t="s">
        <v>277</v>
      </c>
      <c r="G73" s="8" t="s">
        <v>69</v>
      </c>
      <c r="H73" s="5" t="s">
        <v>273</v>
      </c>
      <c r="I73" s="5" t="s">
        <v>279</v>
      </c>
    </row>
    <row r="74" spans="1:9" ht="47.25" customHeight="1" x14ac:dyDescent="0.25">
      <c r="A74" s="5" t="s">
        <v>280</v>
      </c>
      <c r="B74" s="7" t="s">
        <v>281</v>
      </c>
      <c r="C74" s="8" t="s">
        <v>18</v>
      </c>
      <c r="D74" s="8" t="s">
        <v>282</v>
      </c>
      <c r="E74" s="14" t="s">
        <v>283</v>
      </c>
      <c r="F74" s="8" t="s">
        <v>282</v>
      </c>
      <c r="G74" s="8" t="s">
        <v>284</v>
      </c>
      <c r="H74" s="5" t="s">
        <v>285</v>
      </c>
      <c r="I74" s="5" t="s">
        <v>286</v>
      </c>
    </row>
    <row r="75" spans="1:9" ht="47.25" customHeight="1" x14ac:dyDescent="0.25">
      <c r="A75" s="5" t="s">
        <v>287</v>
      </c>
      <c r="B75" s="7" t="s">
        <v>288</v>
      </c>
      <c r="C75" s="8" t="s">
        <v>18</v>
      </c>
      <c r="D75" s="8" t="s">
        <v>277</v>
      </c>
      <c r="E75" s="14" t="s">
        <v>289</v>
      </c>
      <c r="F75" s="8" t="s">
        <v>277</v>
      </c>
      <c r="G75" s="8" t="s">
        <v>284</v>
      </c>
      <c r="H75" s="5" t="s">
        <v>285</v>
      </c>
      <c r="I75" s="5" t="s">
        <v>286</v>
      </c>
    </row>
    <row r="76" spans="1:9" ht="47.25" customHeight="1" x14ac:dyDescent="0.25">
      <c r="A76" s="5" t="s">
        <v>290</v>
      </c>
      <c r="B76" s="7" t="s">
        <v>291</v>
      </c>
      <c r="C76" s="8" t="s">
        <v>18</v>
      </c>
      <c r="D76" s="31">
        <v>46357</v>
      </c>
      <c r="E76" s="8" t="s">
        <v>292</v>
      </c>
      <c r="F76" s="8" t="s">
        <v>197</v>
      </c>
      <c r="G76" s="8" t="s">
        <v>69</v>
      </c>
      <c r="H76" s="5" t="s">
        <v>293</v>
      </c>
      <c r="I76" s="5"/>
    </row>
    <row r="77" spans="1:9" ht="63" customHeight="1" x14ac:dyDescent="0.25">
      <c r="A77" s="5" t="s">
        <v>294</v>
      </c>
      <c r="B77" s="7" t="s">
        <v>295</v>
      </c>
      <c r="C77" s="8" t="s">
        <v>18</v>
      </c>
      <c r="D77" s="8" t="s">
        <v>197</v>
      </c>
      <c r="E77" s="14" t="s">
        <v>296</v>
      </c>
      <c r="F77" s="8" t="s">
        <v>197</v>
      </c>
      <c r="G77" s="8" t="s">
        <v>297</v>
      </c>
      <c r="H77" s="5" t="s">
        <v>298</v>
      </c>
      <c r="I77" s="5" t="s">
        <v>299</v>
      </c>
    </row>
    <row r="78" spans="1:9" ht="72.75" customHeight="1" x14ac:dyDescent="0.25">
      <c r="A78" s="5" t="s">
        <v>300</v>
      </c>
      <c r="B78" s="7" t="s">
        <v>301</v>
      </c>
      <c r="C78" s="8" t="s">
        <v>25</v>
      </c>
      <c r="D78" s="8" t="s">
        <v>302</v>
      </c>
      <c r="E78" s="8" t="s">
        <v>303</v>
      </c>
      <c r="F78" s="8" t="s">
        <v>77</v>
      </c>
      <c r="G78" s="34" t="s">
        <v>304</v>
      </c>
      <c r="H78" s="5" t="s">
        <v>305</v>
      </c>
      <c r="I78" s="5" t="s">
        <v>306</v>
      </c>
    </row>
    <row r="79" spans="1:9" ht="47.25" customHeight="1" x14ac:dyDescent="0.25">
      <c r="A79" s="5" t="s">
        <v>307</v>
      </c>
      <c r="B79" s="7" t="s">
        <v>308</v>
      </c>
      <c r="C79" s="8" t="s">
        <v>309</v>
      </c>
      <c r="D79" s="31">
        <v>46419</v>
      </c>
      <c r="E79" s="8" t="s">
        <v>310</v>
      </c>
      <c r="F79" s="8" t="s">
        <v>77</v>
      </c>
      <c r="G79" s="8" t="s">
        <v>311</v>
      </c>
      <c r="H79" s="5" t="s">
        <v>312</v>
      </c>
      <c r="I79" s="5" t="s">
        <v>313</v>
      </c>
    </row>
    <row r="80" spans="1:9" ht="63" customHeight="1" x14ac:dyDescent="0.25">
      <c r="A80" s="5" t="s">
        <v>314</v>
      </c>
      <c r="B80" s="7" t="s">
        <v>315</v>
      </c>
      <c r="C80" s="8" t="s">
        <v>18</v>
      </c>
      <c r="D80" s="8" t="s">
        <v>316</v>
      </c>
      <c r="E80" s="14" t="s">
        <v>317</v>
      </c>
      <c r="F80" s="8" t="s">
        <v>316</v>
      </c>
      <c r="G80" s="8" t="s">
        <v>69</v>
      </c>
      <c r="H80" s="5" t="s">
        <v>318</v>
      </c>
      <c r="I80" s="5" t="s">
        <v>319</v>
      </c>
    </row>
    <row r="81" spans="1:9" ht="47.25" customHeight="1" x14ac:dyDescent="0.25">
      <c r="A81" s="5" t="s">
        <v>320</v>
      </c>
      <c r="B81" s="7" t="s">
        <v>321</v>
      </c>
      <c r="C81" s="8" t="s">
        <v>25</v>
      </c>
      <c r="D81" s="31">
        <v>46419</v>
      </c>
      <c r="E81" s="8" t="s">
        <v>311</v>
      </c>
      <c r="F81" s="31">
        <v>46419</v>
      </c>
      <c r="G81" s="8" t="s">
        <v>322</v>
      </c>
      <c r="H81" s="5" t="s">
        <v>323</v>
      </c>
      <c r="I81" s="5" t="s">
        <v>324</v>
      </c>
    </row>
    <row r="82" spans="1:9" ht="15" customHeight="1" x14ac:dyDescent="0.25">
      <c r="E82" s="10"/>
    </row>
    <row r="83" spans="1:9" ht="15.75" customHeight="1" x14ac:dyDescent="0.25">
      <c r="B83" s="6" t="s">
        <v>325</v>
      </c>
      <c r="E83" s="10"/>
    </row>
    <row r="84" spans="1:9" ht="15.75" customHeight="1" x14ac:dyDescent="0.25">
      <c r="B84" s="10"/>
      <c r="E84" s="10"/>
    </row>
    <row r="85" spans="1:9" ht="15.75" customHeight="1" x14ac:dyDescent="0.25">
      <c r="B85" s="49" t="s">
        <v>326</v>
      </c>
      <c r="C85" s="45"/>
      <c r="D85" s="1" t="s">
        <v>327</v>
      </c>
      <c r="E85" s="10" t="s">
        <v>328</v>
      </c>
    </row>
    <row r="86" spans="1:9" ht="15.75" customHeight="1" x14ac:dyDescent="0.25">
      <c r="B86" s="15"/>
      <c r="C86" s="15"/>
      <c r="E86" s="10"/>
    </row>
    <row r="87" spans="1:9" ht="15.75" customHeight="1" x14ac:dyDescent="0.25">
      <c r="B87" s="10" t="s">
        <v>329</v>
      </c>
      <c r="D87" s="1" t="s">
        <v>327</v>
      </c>
      <c r="E87" s="10" t="s">
        <v>330</v>
      </c>
    </row>
    <row r="88" spans="1:9" ht="15.75" customHeight="1" x14ac:dyDescent="0.25">
      <c r="B88" s="10"/>
    </row>
    <row r="89" spans="1:9" ht="15.75" customHeight="1" x14ac:dyDescent="0.25">
      <c r="B89" s="10"/>
      <c r="E89" s="10"/>
    </row>
    <row r="90" spans="1:9" ht="15.75" customHeight="1" x14ac:dyDescent="0.25">
      <c r="B90" s="6" t="s">
        <v>331</v>
      </c>
      <c r="E90" s="10"/>
    </row>
    <row r="91" spans="1:9" ht="15.75" customHeight="1" x14ac:dyDescent="0.25">
      <c r="B91" s="6"/>
      <c r="E91" s="10"/>
    </row>
    <row r="92" spans="1:9" ht="15.75" customHeight="1" x14ac:dyDescent="0.25">
      <c r="B92" s="10" t="s">
        <v>332</v>
      </c>
      <c r="D92" s="1" t="s">
        <v>327</v>
      </c>
      <c r="E92" s="10" t="s">
        <v>333</v>
      </c>
    </row>
    <row r="93" spans="1:9" ht="15.75" customHeight="1" x14ac:dyDescent="0.25">
      <c r="B93" s="10"/>
      <c r="E93" s="10"/>
    </row>
    <row r="94" spans="1:9" ht="15.75" customHeight="1" x14ac:dyDescent="0.25">
      <c r="B94" s="49" t="s">
        <v>334</v>
      </c>
      <c r="C94" s="45"/>
      <c r="D94" s="1" t="s">
        <v>327</v>
      </c>
      <c r="E94" s="10" t="s">
        <v>335</v>
      </c>
    </row>
    <row r="95" spans="1:9" ht="15.75" customHeight="1" x14ac:dyDescent="0.25">
      <c r="B95" s="10"/>
      <c r="E95" s="10"/>
    </row>
    <row r="96" spans="1:9" ht="15.75" customHeight="1" x14ac:dyDescent="0.25">
      <c r="B96" s="10" t="s">
        <v>336</v>
      </c>
      <c r="D96" s="1" t="s">
        <v>327</v>
      </c>
      <c r="E96" s="10" t="s">
        <v>337</v>
      </c>
    </row>
    <row r="97" spans="5:5" ht="15.75" customHeight="1" x14ac:dyDescent="0.25">
      <c r="E97" s="10"/>
    </row>
  </sheetData>
  <mergeCells count="21">
    <mergeCell ref="A3:G3"/>
    <mergeCell ref="B85:C85"/>
    <mergeCell ref="B94:C94"/>
    <mergeCell ref="B41:I41"/>
    <mergeCell ref="A5:G5"/>
    <mergeCell ref="E44:E50"/>
    <mergeCell ref="B69:I69"/>
    <mergeCell ref="A6:G6"/>
    <mergeCell ref="B19:I19"/>
    <mergeCell ref="A7:G7"/>
    <mergeCell ref="G27:G33"/>
    <mergeCell ref="E57:E60"/>
    <mergeCell ref="G51:G56"/>
    <mergeCell ref="E27:E33"/>
    <mergeCell ref="E21:E26"/>
    <mergeCell ref="G21:G26"/>
    <mergeCell ref="A4:G4"/>
    <mergeCell ref="G57:G60"/>
    <mergeCell ref="E51:E56"/>
    <mergeCell ref="F27:F33"/>
    <mergeCell ref="G44:G50"/>
  </mergeCells>
  <pageMargins left="0.25" right="0.25" top="0.75" bottom="0.75" header="0.3" footer="0.3"/>
  <pageSetup paperSize="9" scale="68" fitToHeight="0" orientation="landscape" r:id="rId1"/>
  <rowBreaks count="2" manualBreakCount="2">
    <brk id="25" max="6" man="1"/>
    <brk id="71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9"/>
  <sheetViews>
    <sheetView tabSelected="1" topLeftCell="A10" zoomScale="80" zoomScaleNormal="80" workbookViewId="0">
      <selection activeCell="F15" sqref="F15"/>
    </sheetView>
  </sheetViews>
  <sheetFormatPr defaultRowHeight="15" x14ac:dyDescent="0.25"/>
  <cols>
    <col min="1" max="1" width="13" customWidth="1"/>
    <col min="2" max="2" width="62" customWidth="1"/>
    <col min="3" max="3" width="26" customWidth="1"/>
    <col min="4" max="4" width="14" customWidth="1"/>
    <col min="5" max="5" width="50" customWidth="1"/>
    <col min="6" max="6" width="14" customWidth="1"/>
    <col min="7" max="7" width="30" customWidth="1"/>
  </cols>
  <sheetData>
    <row r="1" spans="1:7" x14ac:dyDescent="0.25">
      <c r="A1" s="54" t="s">
        <v>338</v>
      </c>
      <c r="B1" s="41"/>
      <c r="C1" s="41"/>
      <c r="D1" s="41"/>
      <c r="E1" s="41"/>
      <c r="F1" s="41"/>
      <c r="G1" s="41"/>
    </row>
    <row r="2" spans="1:7" x14ac:dyDescent="0.25">
      <c r="A2" s="41"/>
      <c r="B2" s="41"/>
      <c r="C2" s="41"/>
      <c r="D2" s="41"/>
      <c r="E2" s="41"/>
      <c r="F2" s="41"/>
      <c r="G2" s="41"/>
    </row>
    <row r="3" spans="1:7" ht="42.75" customHeight="1" x14ac:dyDescent="0.25">
      <c r="A3" s="38" t="s">
        <v>339</v>
      </c>
      <c r="B3" s="38" t="s">
        <v>340</v>
      </c>
      <c r="C3" s="38" t="s">
        <v>341</v>
      </c>
      <c r="D3" s="38" t="s">
        <v>342</v>
      </c>
      <c r="E3" s="38" t="s">
        <v>343</v>
      </c>
      <c r="F3" s="38" t="s">
        <v>344</v>
      </c>
      <c r="G3" s="38" t="s">
        <v>345</v>
      </c>
    </row>
    <row r="4" spans="1:7" ht="26.25" customHeight="1" x14ac:dyDescent="0.25">
      <c r="A4" s="65" t="s">
        <v>346</v>
      </c>
      <c r="B4" s="66"/>
      <c r="C4" s="66"/>
      <c r="D4" s="66"/>
      <c r="E4" s="66"/>
      <c r="F4" s="66"/>
      <c r="G4" s="66"/>
    </row>
    <row r="5" spans="1:7" ht="48.95" customHeight="1" x14ac:dyDescent="0.25">
      <c r="A5" s="76" t="s">
        <v>120</v>
      </c>
      <c r="B5" s="77" t="s">
        <v>121</v>
      </c>
      <c r="C5" s="76" t="s">
        <v>122</v>
      </c>
      <c r="D5" s="78">
        <v>46269</v>
      </c>
      <c r="E5" s="77" t="s">
        <v>123</v>
      </c>
      <c r="F5" s="78">
        <v>46272</v>
      </c>
      <c r="G5" s="76" t="s">
        <v>465</v>
      </c>
    </row>
    <row r="6" spans="1:7" ht="66" customHeight="1" x14ac:dyDescent="0.25">
      <c r="A6" s="67" t="s">
        <v>347</v>
      </c>
      <c r="B6" s="68" t="s">
        <v>128</v>
      </c>
      <c r="C6" s="67" t="s">
        <v>122</v>
      </c>
      <c r="D6" s="69">
        <v>46269</v>
      </c>
      <c r="E6" s="68" t="s">
        <v>129</v>
      </c>
      <c r="F6" s="67"/>
      <c r="G6" s="67" t="s">
        <v>463</v>
      </c>
    </row>
    <row r="7" spans="1:7" ht="33.950000000000003" customHeight="1" x14ac:dyDescent="0.25">
      <c r="A7" s="67" t="s">
        <v>137</v>
      </c>
      <c r="B7" s="68" t="s">
        <v>138</v>
      </c>
      <c r="C7" s="67" t="s">
        <v>18</v>
      </c>
      <c r="D7" s="69">
        <v>46280</v>
      </c>
      <c r="E7" s="68" t="s">
        <v>140</v>
      </c>
      <c r="F7" s="79">
        <v>46285</v>
      </c>
      <c r="G7" s="67" t="s">
        <v>348</v>
      </c>
    </row>
    <row r="8" spans="1:7" ht="48.95" customHeight="1" x14ac:dyDescent="0.25">
      <c r="A8" s="67" t="s">
        <v>34</v>
      </c>
      <c r="B8" s="68" t="s">
        <v>35</v>
      </c>
      <c r="C8" s="67" t="s">
        <v>18</v>
      </c>
      <c r="D8" s="69">
        <v>46295</v>
      </c>
      <c r="E8" s="68" t="s">
        <v>37</v>
      </c>
      <c r="F8" s="79">
        <v>46281</v>
      </c>
      <c r="G8" s="67" t="s">
        <v>349</v>
      </c>
    </row>
    <row r="9" spans="1:7" ht="33.950000000000003" customHeight="1" x14ac:dyDescent="0.25">
      <c r="A9" s="73" t="s">
        <v>66</v>
      </c>
      <c r="B9" s="74" t="s">
        <v>67</v>
      </c>
      <c r="C9" s="73" t="s">
        <v>18</v>
      </c>
      <c r="D9" s="75">
        <v>46295</v>
      </c>
      <c r="E9" s="74" t="s">
        <v>68</v>
      </c>
      <c r="F9" s="73"/>
      <c r="G9" s="73" t="s">
        <v>350</v>
      </c>
    </row>
    <row r="10" spans="1:7" ht="33.950000000000003" customHeight="1" x14ac:dyDescent="0.25">
      <c r="A10" s="73" t="s">
        <v>90</v>
      </c>
      <c r="B10" s="74" t="s">
        <v>91</v>
      </c>
      <c r="C10" s="73" t="s">
        <v>18</v>
      </c>
      <c r="D10" s="75">
        <v>46295</v>
      </c>
      <c r="E10" s="74" t="s">
        <v>92</v>
      </c>
      <c r="F10" s="73"/>
      <c r="G10" s="73" t="s">
        <v>350</v>
      </c>
    </row>
    <row r="11" spans="1:7" ht="115.5" customHeight="1" x14ac:dyDescent="0.25">
      <c r="A11" s="73" t="s">
        <v>130</v>
      </c>
      <c r="B11" s="74" t="s">
        <v>131</v>
      </c>
      <c r="C11" s="73" t="s">
        <v>132</v>
      </c>
      <c r="D11" s="75">
        <v>46295</v>
      </c>
      <c r="E11" s="74" t="s">
        <v>133</v>
      </c>
      <c r="F11" s="73"/>
      <c r="G11" s="73" t="s">
        <v>351</v>
      </c>
    </row>
    <row r="12" spans="1:7" ht="48.95" customHeight="1" x14ac:dyDescent="0.25">
      <c r="A12" s="67" t="s">
        <v>148</v>
      </c>
      <c r="B12" s="68" t="s">
        <v>149</v>
      </c>
      <c r="C12" s="67" t="s">
        <v>25</v>
      </c>
      <c r="D12" s="69">
        <v>46295</v>
      </c>
      <c r="E12" s="68" t="s">
        <v>150</v>
      </c>
      <c r="F12" s="79">
        <v>46286</v>
      </c>
      <c r="G12" s="67" t="s">
        <v>464</v>
      </c>
    </row>
    <row r="14" spans="1:7" ht="26.25" customHeight="1" x14ac:dyDescent="0.25">
      <c r="A14" s="65" t="s">
        <v>352</v>
      </c>
      <c r="B14" s="66"/>
      <c r="C14" s="66"/>
      <c r="D14" s="66"/>
      <c r="E14" s="66"/>
      <c r="F14" s="66"/>
      <c r="G14" s="66"/>
    </row>
    <row r="15" spans="1:7" ht="48.95" customHeight="1" x14ac:dyDescent="0.25">
      <c r="A15" s="70" t="s">
        <v>113</v>
      </c>
      <c r="B15" s="71" t="s">
        <v>114</v>
      </c>
      <c r="C15" s="70" t="s">
        <v>25</v>
      </c>
      <c r="D15" s="72">
        <v>46309</v>
      </c>
      <c r="E15" s="71" t="s">
        <v>116</v>
      </c>
      <c r="F15" s="70"/>
      <c r="G15" s="70"/>
    </row>
    <row r="16" spans="1:7" ht="33.950000000000003" customHeight="1" x14ac:dyDescent="0.25">
      <c r="A16" s="70" t="s">
        <v>280</v>
      </c>
      <c r="B16" s="71" t="s">
        <v>281</v>
      </c>
      <c r="C16" s="70" t="s">
        <v>18</v>
      </c>
      <c r="D16" s="72">
        <v>46310</v>
      </c>
      <c r="E16" s="71" t="s">
        <v>283</v>
      </c>
      <c r="F16" s="70"/>
      <c r="G16" s="70"/>
    </row>
    <row r="17" spans="1:7" ht="33.950000000000003" customHeight="1" x14ac:dyDescent="0.25">
      <c r="A17" s="70" t="s">
        <v>269</v>
      </c>
      <c r="B17" s="71" t="s">
        <v>270</v>
      </c>
      <c r="C17" s="70" t="s">
        <v>18</v>
      </c>
      <c r="D17" s="72">
        <v>46323</v>
      </c>
      <c r="E17" s="71" t="s">
        <v>272</v>
      </c>
      <c r="F17" s="70"/>
      <c r="G17" s="70"/>
    </row>
    <row r="19" spans="1:7" ht="26.25" customHeight="1" x14ac:dyDescent="0.25">
      <c r="A19" s="65" t="s">
        <v>353</v>
      </c>
      <c r="B19" s="66"/>
      <c r="C19" s="66"/>
      <c r="D19" s="66"/>
      <c r="E19" s="66"/>
      <c r="F19" s="66"/>
      <c r="G19" s="66"/>
    </row>
    <row r="20" spans="1:7" ht="63.95" customHeight="1" x14ac:dyDescent="0.25">
      <c r="A20" s="70" t="s">
        <v>156</v>
      </c>
      <c r="B20" s="71" t="s">
        <v>157</v>
      </c>
      <c r="C20" s="70" t="s">
        <v>158</v>
      </c>
      <c r="D20" s="72">
        <v>46342</v>
      </c>
      <c r="E20" s="71" t="s">
        <v>160</v>
      </c>
      <c r="F20" s="70"/>
      <c r="G20" s="70"/>
    </row>
    <row r="21" spans="1:7" ht="48.95" customHeight="1" x14ac:dyDescent="0.25">
      <c r="A21" s="70" t="s">
        <v>164</v>
      </c>
      <c r="B21" s="71" t="s">
        <v>165</v>
      </c>
      <c r="C21" s="70" t="s">
        <v>166</v>
      </c>
      <c r="D21" s="72">
        <v>46342</v>
      </c>
      <c r="E21" s="71" t="s">
        <v>167</v>
      </c>
      <c r="F21" s="70"/>
      <c r="G21" s="70"/>
    </row>
    <row r="22" spans="1:7" ht="63.95" customHeight="1" x14ac:dyDescent="0.25">
      <c r="A22" s="70" t="s">
        <v>170</v>
      </c>
      <c r="B22" s="71" t="s">
        <v>171</v>
      </c>
      <c r="C22" s="70" t="s">
        <v>18</v>
      </c>
      <c r="D22" s="72">
        <v>46353</v>
      </c>
      <c r="E22" s="71" t="s">
        <v>173</v>
      </c>
      <c r="F22" s="70"/>
      <c r="G22" s="70"/>
    </row>
    <row r="23" spans="1:7" ht="33.950000000000003" customHeight="1" x14ac:dyDescent="0.25">
      <c r="A23" s="70" t="s">
        <v>194</v>
      </c>
      <c r="B23" s="71" t="s">
        <v>195</v>
      </c>
      <c r="C23" s="70" t="s">
        <v>18</v>
      </c>
      <c r="D23" s="72">
        <v>46353</v>
      </c>
      <c r="E23" s="71" t="s">
        <v>196</v>
      </c>
      <c r="F23" s="70"/>
      <c r="G23" s="70"/>
    </row>
    <row r="24" spans="1:7" ht="48.95" customHeight="1" x14ac:dyDescent="0.25">
      <c r="A24" s="70" t="s">
        <v>210</v>
      </c>
      <c r="B24" s="71" t="s">
        <v>211</v>
      </c>
      <c r="C24" s="70" t="s">
        <v>18</v>
      </c>
      <c r="D24" s="72">
        <v>46353</v>
      </c>
      <c r="E24" s="71" t="s">
        <v>212</v>
      </c>
      <c r="F24" s="70"/>
      <c r="G24" s="70"/>
    </row>
    <row r="25" spans="1:7" ht="33.950000000000003" customHeight="1" x14ac:dyDescent="0.25">
      <c r="A25" s="70" t="s">
        <v>233</v>
      </c>
      <c r="B25" s="71" t="s">
        <v>234</v>
      </c>
      <c r="C25" s="70" t="s">
        <v>18</v>
      </c>
      <c r="D25" s="72">
        <v>46353</v>
      </c>
      <c r="E25" s="71" t="s">
        <v>235</v>
      </c>
      <c r="F25" s="70"/>
      <c r="G25" s="70"/>
    </row>
    <row r="26" spans="1:7" ht="33.950000000000003" customHeight="1" x14ac:dyDescent="0.25">
      <c r="A26" s="70" t="s">
        <v>238</v>
      </c>
      <c r="B26" s="71" t="s">
        <v>239</v>
      </c>
      <c r="C26" s="70" t="s">
        <v>18</v>
      </c>
      <c r="D26" s="72">
        <v>46353</v>
      </c>
      <c r="E26" s="71" t="s">
        <v>235</v>
      </c>
      <c r="F26" s="70"/>
      <c r="G26" s="70"/>
    </row>
    <row r="27" spans="1:7" ht="48.95" customHeight="1" x14ac:dyDescent="0.25">
      <c r="A27" s="70" t="s">
        <v>247</v>
      </c>
      <c r="B27" s="71" t="s">
        <v>248</v>
      </c>
      <c r="C27" s="70" t="s">
        <v>18</v>
      </c>
      <c r="D27" s="72">
        <v>46353</v>
      </c>
      <c r="E27" s="71" t="s">
        <v>249</v>
      </c>
      <c r="F27" s="70"/>
      <c r="G27" s="70"/>
    </row>
    <row r="28" spans="1:7" ht="78.95" customHeight="1" x14ac:dyDescent="0.25">
      <c r="A28" s="70" t="s">
        <v>241</v>
      </c>
      <c r="B28" s="71" t="s">
        <v>242</v>
      </c>
      <c r="C28" s="70" t="s">
        <v>18</v>
      </c>
      <c r="D28" s="72">
        <v>46356</v>
      </c>
      <c r="E28" s="71" t="s">
        <v>244</v>
      </c>
      <c r="F28" s="70"/>
      <c r="G28" s="70"/>
    </row>
    <row r="29" spans="1:7" ht="33.950000000000003" customHeight="1" x14ac:dyDescent="0.25">
      <c r="A29" s="70" t="s">
        <v>251</v>
      </c>
      <c r="B29" s="71" t="s">
        <v>252</v>
      </c>
      <c r="C29" s="70" t="s">
        <v>18</v>
      </c>
      <c r="D29" s="72">
        <v>46356</v>
      </c>
      <c r="E29" s="71" t="s">
        <v>253</v>
      </c>
      <c r="F29" s="70"/>
      <c r="G29" s="70"/>
    </row>
    <row r="31" spans="1:7" x14ac:dyDescent="0.25">
      <c r="A31" s="55" t="s">
        <v>354</v>
      </c>
      <c r="B31" s="41"/>
      <c r="C31" s="41"/>
      <c r="D31" s="41"/>
      <c r="E31" s="41"/>
      <c r="F31" s="41"/>
      <c r="G31" s="41"/>
    </row>
    <row r="32" spans="1:7" x14ac:dyDescent="0.25">
      <c r="A32" s="39" t="s">
        <v>257</v>
      </c>
      <c r="B32" s="53" t="s">
        <v>355</v>
      </c>
      <c r="C32" s="41"/>
      <c r="D32" s="41"/>
      <c r="E32" s="41"/>
      <c r="F32" s="41"/>
      <c r="G32" s="41"/>
    </row>
    <row r="33" spans="1:7" x14ac:dyDescent="0.25">
      <c r="A33" s="39" t="s">
        <v>290</v>
      </c>
      <c r="B33" s="53" t="s">
        <v>356</v>
      </c>
      <c r="C33" s="41"/>
      <c r="D33" s="41"/>
      <c r="E33" s="41"/>
      <c r="F33" s="41"/>
      <c r="G33" s="41"/>
    </row>
    <row r="34" spans="1:7" x14ac:dyDescent="0.25">
      <c r="A34" s="39" t="s">
        <v>294</v>
      </c>
      <c r="B34" s="53" t="s">
        <v>357</v>
      </c>
      <c r="C34" s="41"/>
      <c r="D34" s="41"/>
      <c r="E34" s="41"/>
      <c r="F34" s="41"/>
      <c r="G34" s="41"/>
    </row>
    <row r="35" spans="1:7" x14ac:dyDescent="0.25">
      <c r="A35" s="39" t="s">
        <v>300</v>
      </c>
      <c r="B35" s="53" t="s">
        <v>358</v>
      </c>
      <c r="C35" s="41"/>
      <c r="D35" s="41"/>
      <c r="E35" s="41"/>
      <c r="F35" s="41"/>
      <c r="G35" s="41"/>
    </row>
    <row r="38" spans="1:7" ht="26.25" customHeight="1" x14ac:dyDescent="0.25">
      <c r="A38" s="51" t="s">
        <v>359</v>
      </c>
      <c r="B38" s="52"/>
      <c r="C38" s="52"/>
      <c r="D38" s="52"/>
      <c r="E38" s="52"/>
      <c r="F38" s="52"/>
      <c r="G38" s="52"/>
    </row>
    <row r="39" spans="1:7" ht="42.75" customHeight="1" x14ac:dyDescent="0.25">
      <c r="A39" s="38" t="s">
        <v>339</v>
      </c>
      <c r="B39" s="38" t="s">
        <v>340</v>
      </c>
      <c r="C39" s="38" t="s">
        <v>341</v>
      </c>
      <c r="D39" s="38" t="s">
        <v>342</v>
      </c>
      <c r="E39" s="38" t="s">
        <v>343</v>
      </c>
      <c r="F39" s="38" t="s">
        <v>344</v>
      </c>
      <c r="G39" s="38" t="s">
        <v>345</v>
      </c>
    </row>
    <row r="40" spans="1:7" ht="33.950000000000003" customHeight="1" x14ac:dyDescent="0.25">
      <c r="A40" s="76" t="s">
        <v>23</v>
      </c>
      <c r="B40" s="77" t="s">
        <v>24</v>
      </c>
      <c r="C40" s="76" t="s">
        <v>122</v>
      </c>
      <c r="D40" s="78">
        <v>46268</v>
      </c>
      <c r="E40" s="77" t="s">
        <v>27</v>
      </c>
      <c r="F40" s="78">
        <v>46261</v>
      </c>
      <c r="G40" s="76" t="s">
        <v>360</v>
      </c>
    </row>
    <row r="41" spans="1:7" ht="33.950000000000003" customHeight="1" x14ac:dyDescent="0.25">
      <c r="A41" s="76" t="s">
        <v>52</v>
      </c>
      <c r="B41" s="77" t="s">
        <v>53</v>
      </c>
      <c r="C41" s="76" t="s">
        <v>18</v>
      </c>
      <c r="D41" s="78">
        <v>46258</v>
      </c>
      <c r="E41" s="77" t="s">
        <v>49</v>
      </c>
      <c r="F41" s="78">
        <v>46266</v>
      </c>
      <c r="G41" s="76" t="s">
        <v>361</v>
      </c>
    </row>
    <row r="42" spans="1:7" ht="33.950000000000003" customHeight="1" x14ac:dyDescent="0.25">
      <c r="A42" s="76" t="s">
        <v>56</v>
      </c>
      <c r="B42" s="77" t="s">
        <v>57</v>
      </c>
      <c r="C42" s="76" t="s">
        <v>18</v>
      </c>
      <c r="D42" s="78">
        <v>46261</v>
      </c>
      <c r="E42" s="77" t="s">
        <v>58</v>
      </c>
      <c r="F42" s="78">
        <v>46267</v>
      </c>
      <c r="G42" s="76" t="s">
        <v>362</v>
      </c>
    </row>
    <row r="43" spans="1:7" ht="48.95" customHeight="1" x14ac:dyDescent="0.25">
      <c r="A43" s="76" t="s">
        <v>71</v>
      </c>
      <c r="B43" s="77" t="s">
        <v>72</v>
      </c>
      <c r="C43" s="76" t="s">
        <v>18</v>
      </c>
      <c r="D43" s="78">
        <v>46261</v>
      </c>
      <c r="E43" s="77" t="s">
        <v>363</v>
      </c>
      <c r="F43" s="78">
        <v>46267</v>
      </c>
      <c r="G43" s="76" t="s">
        <v>361</v>
      </c>
    </row>
    <row r="44" spans="1:7" ht="33.950000000000003" customHeight="1" x14ac:dyDescent="0.25">
      <c r="A44" s="76" t="s">
        <v>16</v>
      </c>
      <c r="B44" s="77" t="s">
        <v>17</v>
      </c>
      <c r="C44" s="76" t="s">
        <v>18</v>
      </c>
      <c r="D44" s="78">
        <v>46261</v>
      </c>
      <c r="E44" s="77" t="s">
        <v>19</v>
      </c>
      <c r="F44" s="78">
        <v>46269</v>
      </c>
      <c r="G44" s="76" t="s">
        <v>361</v>
      </c>
    </row>
    <row r="45" spans="1:7" ht="33.950000000000003" customHeight="1" x14ac:dyDescent="0.25">
      <c r="A45" s="76" t="s">
        <v>31</v>
      </c>
      <c r="B45" s="77" t="s">
        <v>364</v>
      </c>
      <c r="C45" s="76" t="s">
        <v>18</v>
      </c>
      <c r="D45" s="78">
        <v>46268</v>
      </c>
      <c r="E45" s="77" t="s">
        <v>33</v>
      </c>
      <c r="F45" s="78">
        <v>46269</v>
      </c>
      <c r="G45" s="76" t="s">
        <v>361</v>
      </c>
    </row>
    <row r="46" spans="1:7" ht="48.95" customHeight="1" x14ac:dyDescent="0.25">
      <c r="A46" s="76"/>
      <c r="B46" s="77" t="s">
        <v>365</v>
      </c>
      <c r="C46" s="76" t="s">
        <v>18</v>
      </c>
      <c r="D46" s="78">
        <v>46237</v>
      </c>
      <c r="E46" s="77" t="s">
        <v>366</v>
      </c>
      <c r="F46" s="78">
        <v>46272</v>
      </c>
      <c r="G46" s="76" t="s">
        <v>367</v>
      </c>
    </row>
    <row r="47" spans="1:7" ht="33.950000000000003" customHeight="1" x14ac:dyDescent="0.25">
      <c r="A47" s="76" t="s">
        <v>40</v>
      </c>
      <c r="B47" s="77" t="s">
        <v>41</v>
      </c>
      <c r="C47" s="76" t="s">
        <v>18</v>
      </c>
      <c r="D47" s="78">
        <v>46295</v>
      </c>
      <c r="E47" s="77" t="s">
        <v>42</v>
      </c>
      <c r="F47" s="78">
        <v>46279</v>
      </c>
      <c r="G47" s="76" t="s">
        <v>367</v>
      </c>
    </row>
    <row r="48" spans="1:7" ht="33.950000000000003" customHeight="1" x14ac:dyDescent="0.25">
      <c r="A48" s="76" t="s">
        <v>46</v>
      </c>
      <c r="B48" s="77" t="s">
        <v>47</v>
      </c>
      <c r="C48" s="76" t="s">
        <v>18</v>
      </c>
      <c r="D48" s="78">
        <v>46267</v>
      </c>
      <c r="E48" s="77" t="s">
        <v>49</v>
      </c>
      <c r="F48" s="78">
        <v>46293</v>
      </c>
      <c r="G48" s="76" t="s">
        <v>368</v>
      </c>
    </row>
    <row r="49" spans="1:7" ht="33.950000000000003" customHeight="1" x14ac:dyDescent="0.25">
      <c r="A49" s="76" t="s">
        <v>142</v>
      </c>
      <c r="B49" s="77" t="s">
        <v>143</v>
      </c>
      <c r="C49" s="76" t="s">
        <v>18</v>
      </c>
      <c r="D49" s="78">
        <v>46295</v>
      </c>
      <c r="E49" s="77" t="s">
        <v>144</v>
      </c>
      <c r="F49" s="76"/>
      <c r="G49" s="76" t="s">
        <v>369</v>
      </c>
    </row>
  </sheetData>
  <autoFilter ref="A3:G29" xr:uid="{00000000-0009-0000-0000-000001000000}"/>
  <mergeCells count="11">
    <mergeCell ref="A38:G38"/>
    <mergeCell ref="B35:G35"/>
    <mergeCell ref="B32:G32"/>
    <mergeCell ref="A2:G2"/>
    <mergeCell ref="A19:G19"/>
    <mergeCell ref="B33:G33"/>
    <mergeCell ref="A14:G14"/>
    <mergeCell ref="B34:G34"/>
    <mergeCell ref="A1:G1"/>
    <mergeCell ref="A31:G31"/>
    <mergeCell ref="A4:G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3"/>
  <sheetViews>
    <sheetView workbookViewId="0">
      <selection activeCell="D9" sqref="D5:D9"/>
    </sheetView>
  </sheetViews>
  <sheetFormatPr defaultRowHeight="15" x14ac:dyDescent="0.25"/>
  <cols>
    <col min="2" max="2" width="11.42578125" customWidth="1"/>
    <col min="3" max="3" width="59.140625" customWidth="1"/>
    <col min="4" max="4" width="62.42578125" customWidth="1"/>
    <col min="5" max="5" width="16.5703125" customWidth="1"/>
    <col min="6" max="6" width="20" customWidth="1"/>
    <col min="7" max="7" width="14.85546875" customWidth="1"/>
    <col min="10" max="11" width="9.140625" customWidth="1"/>
  </cols>
  <sheetData>
    <row r="1" spans="2:9" ht="15.75" customHeight="1" thickBot="1" x14ac:dyDescent="0.3">
      <c r="B1" s="20" t="s">
        <v>7</v>
      </c>
      <c r="I1" s="20"/>
    </row>
    <row r="2" spans="2:9" ht="27.75" customHeight="1" thickBot="1" x14ac:dyDescent="0.3">
      <c r="B2" s="17" t="s">
        <v>370</v>
      </c>
      <c r="C2" s="58" t="s">
        <v>371</v>
      </c>
      <c r="D2" s="58" t="s">
        <v>372</v>
      </c>
      <c r="E2" s="58" t="s">
        <v>373</v>
      </c>
      <c r="F2" s="41"/>
      <c r="G2" s="58" t="s">
        <v>374</v>
      </c>
    </row>
    <row r="3" spans="2:9" ht="13.5" customHeight="1" thickBot="1" x14ac:dyDescent="0.3">
      <c r="B3" s="17" t="s">
        <v>375</v>
      </c>
      <c r="C3" s="41"/>
      <c r="D3" s="41"/>
      <c r="E3" s="17" t="s">
        <v>376</v>
      </c>
      <c r="F3" s="17" t="s">
        <v>377</v>
      </c>
      <c r="G3" s="41"/>
    </row>
    <row r="4" spans="2:9" ht="15.75" customHeight="1" thickBot="1" x14ac:dyDescent="0.3">
      <c r="B4" s="17">
        <v>1</v>
      </c>
      <c r="C4" s="17">
        <v>2</v>
      </c>
      <c r="D4" s="17">
        <v>3</v>
      </c>
      <c r="E4" s="17">
        <v>4</v>
      </c>
      <c r="F4" s="17">
        <v>5</v>
      </c>
      <c r="G4" s="17">
        <v>6</v>
      </c>
    </row>
    <row r="5" spans="2:9" ht="26.25" customHeight="1" x14ac:dyDescent="0.25">
      <c r="B5" s="56">
        <v>1</v>
      </c>
      <c r="C5" s="59" t="s">
        <v>378</v>
      </c>
      <c r="D5" s="18" t="s">
        <v>379</v>
      </c>
      <c r="E5" s="56" t="s">
        <v>380</v>
      </c>
      <c r="F5" s="57">
        <v>46386</v>
      </c>
      <c r="G5" s="60">
        <v>92947038.540000007</v>
      </c>
    </row>
    <row r="6" spans="2:9" ht="28.5" customHeight="1" x14ac:dyDescent="0.25">
      <c r="B6" s="41"/>
      <c r="C6" s="41"/>
      <c r="D6" s="18" t="s">
        <v>381</v>
      </c>
      <c r="E6" s="41"/>
      <c r="F6" s="41"/>
      <c r="G6" s="41"/>
    </row>
    <row r="7" spans="2:9" ht="30" customHeight="1" x14ac:dyDescent="0.25">
      <c r="B7" s="41"/>
      <c r="C7" s="41"/>
      <c r="D7" s="18" t="s">
        <v>382</v>
      </c>
      <c r="E7" s="41"/>
      <c r="F7" s="41"/>
      <c r="G7" s="41"/>
    </row>
    <row r="8" spans="2:9" ht="31.5" customHeight="1" x14ac:dyDescent="0.25">
      <c r="B8" s="41"/>
      <c r="C8" s="41"/>
      <c r="D8" s="18" t="s">
        <v>383</v>
      </c>
      <c r="E8" s="41"/>
      <c r="F8" s="41"/>
      <c r="G8" s="41"/>
    </row>
    <row r="9" spans="2:9" ht="33" customHeight="1" x14ac:dyDescent="0.25">
      <c r="B9" s="41"/>
      <c r="C9" s="41"/>
      <c r="D9" s="18" t="s">
        <v>384</v>
      </c>
      <c r="E9" s="41"/>
      <c r="F9" s="41"/>
      <c r="G9" s="41"/>
    </row>
    <row r="10" spans="2:9" ht="29.25" customHeight="1" x14ac:dyDescent="0.25">
      <c r="B10" s="41"/>
      <c r="C10" s="41"/>
      <c r="D10" s="18" t="s">
        <v>385</v>
      </c>
      <c r="E10" s="41"/>
      <c r="F10" s="41"/>
      <c r="G10" s="41"/>
    </row>
    <row r="11" spans="2:9" ht="33.75" customHeight="1" x14ac:dyDescent="0.25">
      <c r="B11" s="41"/>
      <c r="C11" s="41"/>
      <c r="D11" s="18" t="s">
        <v>386</v>
      </c>
      <c r="E11" s="41"/>
      <c r="F11" s="41"/>
      <c r="G11" s="41"/>
    </row>
    <row r="12" spans="2:9" ht="27.75" customHeight="1" thickBot="1" x14ac:dyDescent="0.3">
      <c r="B12" s="41"/>
      <c r="C12" s="41"/>
      <c r="D12" s="18" t="s">
        <v>387</v>
      </c>
      <c r="E12" s="41"/>
      <c r="F12" s="41"/>
      <c r="G12" s="41"/>
    </row>
    <row r="13" spans="2:9" ht="23.25" customHeight="1" x14ac:dyDescent="0.25">
      <c r="B13" s="56">
        <v>2</v>
      </c>
      <c r="C13" s="59" t="s">
        <v>388</v>
      </c>
      <c r="D13" s="18" t="s">
        <v>389</v>
      </c>
      <c r="E13" s="57">
        <v>46388</v>
      </c>
      <c r="F13" s="57">
        <v>46568</v>
      </c>
      <c r="G13" s="60">
        <v>79995696.700000003</v>
      </c>
    </row>
    <row r="14" spans="2:9" ht="38.25" customHeight="1" x14ac:dyDescent="0.25">
      <c r="B14" s="41"/>
      <c r="C14" s="41"/>
      <c r="D14" s="18" t="s">
        <v>390</v>
      </c>
      <c r="E14" s="41"/>
      <c r="F14" s="41"/>
      <c r="G14" s="41"/>
    </row>
    <row r="15" spans="2:9" ht="27.75" customHeight="1" x14ac:dyDescent="0.25">
      <c r="B15" s="41"/>
      <c r="C15" s="41"/>
      <c r="D15" s="18" t="s">
        <v>391</v>
      </c>
      <c r="E15" s="41"/>
      <c r="F15" s="41"/>
      <c r="G15" s="41"/>
    </row>
    <row r="16" spans="2:9" ht="42" customHeight="1" x14ac:dyDescent="0.25">
      <c r="B16" s="41"/>
      <c r="C16" s="41"/>
      <c r="D16" s="18" t="s">
        <v>392</v>
      </c>
      <c r="E16" s="41"/>
      <c r="F16" s="41"/>
      <c r="G16" s="41"/>
    </row>
    <row r="17" spans="2:7" ht="34.5" customHeight="1" x14ac:dyDescent="0.25">
      <c r="B17" s="41"/>
      <c r="C17" s="41"/>
      <c r="D17" s="18" t="s">
        <v>393</v>
      </c>
      <c r="E17" s="41"/>
      <c r="F17" s="41"/>
      <c r="G17" s="41"/>
    </row>
    <row r="18" spans="2:7" ht="25.5" customHeight="1" x14ac:dyDescent="0.25">
      <c r="B18" s="41"/>
      <c r="C18" s="41"/>
      <c r="D18" s="18" t="s">
        <v>394</v>
      </c>
      <c r="E18" s="41"/>
      <c r="F18" s="41"/>
      <c r="G18" s="41"/>
    </row>
    <row r="19" spans="2:7" ht="34.5" customHeight="1" thickBot="1" x14ac:dyDescent="0.3">
      <c r="B19" s="41"/>
      <c r="C19" s="41"/>
      <c r="D19" s="18" t="s">
        <v>395</v>
      </c>
      <c r="E19" s="41"/>
      <c r="F19" s="41"/>
      <c r="G19" s="41"/>
    </row>
    <row r="20" spans="2:7" ht="22.5" customHeight="1" x14ac:dyDescent="0.25">
      <c r="B20" s="56">
        <v>3</v>
      </c>
      <c r="C20" s="59" t="s">
        <v>396</v>
      </c>
      <c r="D20" s="18" t="s">
        <v>397</v>
      </c>
      <c r="E20" s="57">
        <v>46569</v>
      </c>
      <c r="F20" s="57">
        <v>46751</v>
      </c>
      <c r="G20" s="60">
        <v>88797441.670000002</v>
      </c>
    </row>
    <row r="21" spans="2:7" ht="22.5" customHeight="1" x14ac:dyDescent="0.25">
      <c r="B21" s="41"/>
      <c r="C21" s="41"/>
      <c r="D21" s="18" t="s">
        <v>398</v>
      </c>
      <c r="E21" s="41"/>
      <c r="F21" s="41"/>
      <c r="G21" s="41"/>
    </row>
    <row r="22" spans="2:7" ht="42" customHeight="1" x14ac:dyDescent="0.25">
      <c r="B22" s="41"/>
      <c r="C22" s="41"/>
      <c r="D22" s="18" t="s">
        <v>399</v>
      </c>
      <c r="E22" s="41"/>
      <c r="F22" s="41"/>
      <c r="G22" s="41"/>
    </row>
    <row r="23" spans="2:7" ht="30" customHeight="1" x14ac:dyDescent="0.25">
      <c r="B23" s="41"/>
      <c r="C23" s="41"/>
      <c r="D23" s="18" t="s">
        <v>400</v>
      </c>
      <c r="E23" s="41"/>
      <c r="F23" s="41"/>
      <c r="G23" s="41"/>
    </row>
    <row r="24" spans="2:7" ht="27" customHeight="1" thickBot="1" x14ac:dyDescent="0.3">
      <c r="B24" s="41"/>
      <c r="C24" s="41"/>
      <c r="D24" s="18" t="s">
        <v>401</v>
      </c>
      <c r="E24" s="41"/>
      <c r="F24" s="41"/>
      <c r="G24" s="41"/>
    </row>
    <row r="25" spans="2:7" ht="23.25" customHeight="1" x14ac:dyDescent="0.25">
      <c r="B25" s="56">
        <v>4</v>
      </c>
      <c r="C25" s="59" t="s">
        <v>402</v>
      </c>
      <c r="D25" s="18" t="s">
        <v>403</v>
      </c>
      <c r="E25" s="57">
        <v>46753</v>
      </c>
      <c r="F25" s="57">
        <v>46934</v>
      </c>
      <c r="G25" s="60">
        <v>92796812.010000005</v>
      </c>
    </row>
    <row r="26" spans="2:7" ht="25.5" customHeight="1" x14ac:dyDescent="0.25">
      <c r="B26" s="41"/>
      <c r="C26" s="41"/>
      <c r="D26" s="18" t="s">
        <v>404</v>
      </c>
      <c r="E26" s="41"/>
      <c r="F26" s="41"/>
      <c r="G26" s="41"/>
    </row>
    <row r="27" spans="2:7" ht="33.75" customHeight="1" x14ac:dyDescent="0.25">
      <c r="B27" s="41"/>
      <c r="C27" s="41"/>
      <c r="D27" s="18" t="s">
        <v>405</v>
      </c>
      <c r="E27" s="41"/>
      <c r="F27" s="41"/>
      <c r="G27" s="41"/>
    </row>
    <row r="28" spans="2:7" ht="30" customHeight="1" x14ac:dyDescent="0.25">
      <c r="B28" s="41"/>
      <c r="C28" s="41"/>
      <c r="D28" s="18" t="s">
        <v>406</v>
      </c>
      <c r="E28" s="41"/>
      <c r="F28" s="41"/>
      <c r="G28" s="41"/>
    </row>
    <row r="29" spans="2:7" ht="28.5" customHeight="1" thickBot="1" x14ac:dyDescent="0.3">
      <c r="B29" s="41"/>
      <c r="C29" s="41"/>
      <c r="D29" s="18" t="s">
        <v>407</v>
      </c>
      <c r="E29" s="41"/>
      <c r="F29" s="41"/>
      <c r="G29" s="41"/>
    </row>
    <row r="30" spans="2:7" ht="21.75" customHeight="1" x14ac:dyDescent="0.25">
      <c r="B30" s="56">
        <v>5</v>
      </c>
      <c r="C30" s="59" t="s">
        <v>408</v>
      </c>
      <c r="D30" s="18" t="s">
        <v>409</v>
      </c>
      <c r="E30" s="57">
        <v>46935</v>
      </c>
      <c r="F30" s="57">
        <v>47117</v>
      </c>
      <c r="G30" s="60">
        <v>54867026.329999998</v>
      </c>
    </row>
    <row r="31" spans="2:7" ht="18.75" customHeight="1" x14ac:dyDescent="0.25">
      <c r="B31" s="41"/>
      <c r="C31" s="41"/>
      <c r="D31" s="18" t="s">
        <v>410</v>
      </c>
      <c r="E31" s="41"/>
      <c r="F31" s="41"/>
      <c r="G31" s="41"/>
    </row>
    <row r="32" spans="2:7" ht="26.25" customHeight="1" x14ac:dyDescent="0.25">
      <c r="B32" s="41"/>
      <c r="C32" s="41"/>
      <c r="D32" s="18" t="s">
        <v>411</v>
      </c>
      <c r="E32" s="41"/>
      <c r="F32" s="41"/>
      <c r="G32" s="41"/>
    </row>
    <row r="33" spans="2:7" ht="30" customHeight="1" thickBot="1" x14ac:dyDescent="0.3">
      <c r="B33" s="41"/>
      <c r="C33" s="41"/>
      <c r="D33" s="18" t="s">
        <v>412</v>
      </c>
      <c r="E33" s="41"/>
      <c r="F33" s="41"/>
      <c r="G33" s="41"/>
    </row>
  </sheetData>
  <mergeCells count="29">
    <mergeCell ref="G30:G33"/>
    <mergeCell ref="E2:F2"/>
    <mergeCell ref="B25:B29"/>
    <mergeCell ref="F25:F29"/>
    <mergeCell ref="B30:B33"/>
    <mergeCell ref="E20:E24"/>
    <mergeCell ref="G5:G12"/>
    <mergeCell ref="F20:F24"/>
    <mergeCell ref="E13:E19"/>
    <mergeCell ref="C20:C24"/>
    <mergeCell ref="C25:C29"/>
    <mergeCell ref="G13:G19"/>
    <mergeCell ref="G2:G3"/>
    <mergeCell ref="B5:B12"/>
    <mergeCell ref="G20:G24"/>
    <mergeCell ref="C13:C19"/>
    <mergeCell ref="E25:E29"/>
    <mergeCell ref="B20:B24"/>
    <mergeCell ref="G25:G29"/>
    <mergeCell ref="B13:B19"/>
    <mergeCell ref="F30:F33"/>
    <mergeCell ref="D2:D3"/>
    <mergeCell ref="C30:C33"/>
    <mergeCell ref="F13:F19"/>
    <mergeCell ref="C5:C12"/>
    <mergeCell ref="E5:E12"/>
    <mergeCell ref="C2:C3"/>
    <mergeCell ref="F5:F12"/>
    <mergeCell ref="E30:E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5"/>
  <sheetViews>
    <sheetView workbookViewId="0">
      <selection activeCell="D4" sqref="D4"/>
    </sheetView>
  </sheetViews>
  <sheetFormatPr defaultRowHeight="15" x14ac:dyDescent="0.25"/>
  <cols>
    <col min="3" max="3" width="53.28515625" customWidth="1"/>
    <col min="4" max="4" width="76.85546875" customWidth="1"/>
    <col min="5" max="5" width="11.7109375" customWidth="1"/>
    <col min="6" max="6" width="10.85546875" customWidth="1"/>
  </cols>
  <sheetData>
    <row r="1" spans="2:6" ht="15.75" customHeight="1" thickBot="1" x14ac:dyDescent="0.3">
      <c r="B1" s="20" t="s">
        <v>413</v>
      </c>
    </row>
    <row r="2" spans="2:6" ht="39" customHeight="1" thickBot="1" x14ac:dyDescent="0.3">
      <c r="B2" s="19" t="s">
        <v>414</v>
      </c>
      <c r="C2" s="19" t="s">
        <v>415</v>
      </c>
      <c r="D2" s="19" t="s">
        <v>416</v>
      </c>
      <c r="E2" s="19" t="s">
        <v>417</v>
      </c>
      <c r="F2" s="19" t="s">
        <v>418</v>
      </c>
    </row>
    <row r="3" spans="2:6" ht="43.5" customHeight="1" thickBot="1" x14ac:dyDescent="0.3">
      <c r="B3" s="19" t="s">
        <v>14</v>
      </c>
      <c r="C3" s="18" t="s">
        <v>419</v>
      </c>
      <c r="D3" s="18" t="s">
        <v>420</v>
      </c>
      <c r="E3" s="21">
        <v>4000000</v>
      </c>
      <c r="F3" s="19"/>
    </row>
    <row r="4" spans="2:6" ht="45" customHeight="1" thickBot="1" x14ac:dyDescent="0.3">
      <c r="B4" s="19" t="s">
        <v>62</v>
      </c>
      <c r="C4" s="18" t="s">
        <v>421</v>
      </c>
      <c r="D4" s="18" t="s">
        <v>422</v>
      </c>
      <c r="E4" s="21">
        <v>1000000</v>
      </c>
      <c r="F4" s="19"/>
    </row>
    <row r="5" spans="2:6" ht="15.75" customHeight="1" thickBot="1" x14ac:dyDescent="0.3">
      <c r="B5" s="59" t="s">
        <v>423</v>
      </c>
      <c r="C5" s="41"/>
      <c r="D5" s="41"/>
      <c r="E5" s="19" t="s">
        <v>424</v>
      </c>
      <c r="F5" s="18"/>
    </row>
  </sheetData>
  <mergeCells count="1"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7"/>
  <sheetViews>
    <sheetView workbookViewId="0">
      <selection activeCell="H1" sqref="H1:H1048576"/>
    </sheetView>
  </sheetViews>
  <sheetFormatPr defaultRowHeight="15" x14ac:dyDescent="0.25"/>
  <cols>
    <col min="3" max="3" width="41.42578125" customWidth="1"/>
    <col min="8" max="8" width="14.42578125" style="37" customWidth="1"/>
  </cols>
  <sheetData>
    <row r="1" spans="2:8" x14ac:dyDescent="0.25">
      <c r="H1" s="63"/>
    </row>
    <row r="2" spans="2:8" ht="15.75" customHeight="1" x14ac:dyDescent="0.25">
      <c r="B2" s="62"/>
      <c r="C2" s="41"/>
      <c r="H2" s="64"/>
    </row>
    <row r="3" spans="2:8" x14ac:dyDescent="0.25">
      <c r="B3" s="22" t="s">
        <v>425</v>
      </c>
      <c r="C3" s="22"/>
      <c r="D3" s="22"/>
      <c r="E3" s="22"/>
      <c r="F3" s="22"/>
      <c r="G3" s="22"/>
      <c r="H3" s="41"/>
    </row>
    <row r="4" spans="2:8" ht="38.25" customHeight="1" x14ac:dyDescent="0.25">
      <c r="B4" s="23" t="s">
        <v>414</v>
      </c>
      <c r="C4" s="23" t="s">
        <v>426</v>
      </c>
      <c r="D4" s="23" t="s">
        <v>427</v>
      </c>
      <c r="E4" s="23" t="s">
        <v>428</v>
      </c>
      <c r="F4" s="23" t="s">
        <v>429</v>
      </c>
      <c r="G4" s="23" t="s">
        <v>430</v>
      </c>
      <c r="H4" s="36"/>
    </row>
    <row r="5" spans="2:8" x14ac:dyDescent="0.25">
      <c r="B5" s="22"/>
      <c r="C5" s="24" t="s">
        <v>431</v>
      </c>
      <c r="D5" s="23"/>
      <c r="E5" s="23"/>
      <c r="F5" s="22"/>
      <c r="G5" s="24"/>
      <c r="H5" s="36"/>
    </row>
    <row r="6" spans="2:8" x14ac:dyDescent="0.25">
      <c r="B6" s="23" t="s">
        <v>14</v>
      </c>
      <c r="C6" s="24" t="s">
        <v>432</v>
      </c>
      <c r="D6" s="23" t="s">
        <v>433</v>
      </c>
      <c r="E6" s="23">
        <v>1</v>
      </c>
      <c r="F6" s="25">
        <f>4590000/1000</f>
        <v>4590</v>
      </c>
      <c r="G6" s="25">
        <f>F6*E6</f>
        <v>4590</v>
      </c>
      <c r="H6" s="61"/>
    </row>
    <row r="7" spans="2:8" x14ac:dyDescent="0.25">
      <c r="B7" s="23" t="s">
        <v>62</v>
      </c>
      <c r="C7" s="24" t="s">
        <v>434</v>
      </c>
      <c r="D7" s="23" t="s">
        <v>433</v>
      </c>
      <c r="E7" s="23">
        <v>1</v>
      </c>
      <c r="F7" s="25">
        <f>4136000/1000</f>
        <v>4136</v>
      </c>
      <c r="G7" s="25">
        <f>F7*E7</f>
        <v>4136</v>
      </c>
      <c r="H7" s="41"/>
    </row>
    <row r="8" spans="2:8" ht="38.25" customHeight="1" x14ac:dyDescent="0.25">
      <c r="B8" s="23" t="s">
        <v>255</v>
      </c>
      <c r="C8" s="24" t="s">
        <v>435</v>
      </c>
      <c r="D8" s="23" t="s">
        <v>433</v>
      </c>
      <c r="E8" s="23">
        <v>1</v>
      </c>
      <c r="F8" s="25">
        <v>5654</v>
      </c>
      <c r="G8" s="25">
        <f>F8*E8</f>
        <v>5654</v>
      </c>
      <c r="H8" s="36"/>
    </row>
    <row r="9" spans="2:8" x14ac:dyDescent="0.25">
      <c r="B9" s="23" t="s">
        <v>436</v>
      </c>
      <c r="C9" s="24" t="s">
        <v>437</v>
      </c>
      <c r="D9" s="23" t="s">
        <v>433</v>
      </c>
      <c r="E9" s="23">
        <v>1</v>
      </c>
      <c r="F9" s="25">
        <v>240</v>
      </c>
      <c r="G9" s="25">
        <f>F9*E9</f>
        <v>240</v>
      </c>
      <c r="H9" s="36"/>
    </row>
    <row r="10" spans="2:8" x14ac:dyDescent="0.25">
      <c r="B10" s="24"/>
      <c r="C10" s="24" t="s">
        <v>438</v>
      </c>
      <c r="D10" s="26"/>
      <c r="E10" s="26"/>
      <c r="F10" s="27"/>
      <c r="G10" s="25">
        <f>SUM(G6:G9)</f>
        <v>14620</v>
      </c>
      <c r="H10" s="36"/>
    </row>
    <row r="11" spans="2:8" x14ac:dyDescent="0.25">
      <c r="B11" s="22"/>
      <c r="C11" s="24" t="s">
        <v>439</v>
      </c>
      <c r="D11" s="23"/>
      <c r="E11" s="23"/>
      <c r="F11" s="28"/>
      <c r="G11" s="28"/>
      <c r="H11" s="36"/>
    </row>
    <row r="12" spans="2:8" x14ac:dyDescent="0.25">
      <c r="B12" s="23" t="s">
        <v>14</v>
      </c>
      <c r="C12" s="24" t="s">
        <v>440</v>
      </c>
      <c r="D12" s="23" t="s">
        <v>433</v>
      </c>
      <c r="E12" s="23">
        <v>2</v>
      </c>
      <c r="F12" s="25">
        <v>1300</v>
      </c>
      <c r="G12" s="25">
        <f>F12*E12</f>
        <v>2600</v>
      </c>
      <c r="H12" s="36"/>
    </row>
    <row r="13" spans="2:8" x14ac:dyDescent="0.25">
      <c r="B13" s="23" t="s">
        <v>62</v>
      </c>
      <c r="C13" s="24" t="s">
        <v>441</v>
      </c>
      <c r="D13" s="23" t="s">
        <v>433</v>
      </c>
      <c r="E13" s="23">
        <v>1</v>
      </c>
      <c r="F13" s="25">
        <v>180</v>
      </c>
      <c r="G13" s="25">
        <f>F13*E13</f>
        <v>180</v>
      </c>
      <c r="H13" s="36"/>
    </row>
    <row r="14" spans="2:8" x14ac:dyDescent="0.25">
      <c r="B14" s="23" t="s">
        <v>255</v>
      </c>
      <c r="C14" s="24" t="s">
        <v>442</v>
      </c>
      <c r="D14" s="23" t="s">
        <v>433</v>
      </c>
      <c r="E14" s="23">
        <v>2</v>
      </c>
      <c r="F14" s="25">
        <v>1300</v>
      </c>
      <c r="G14" s="25">
        <f>F14*E14</f>
        <v>2600</v>
      </c>
      <c r="H14" s="36"/>
    </row>
    <row r="15" spans="2:8" x14ac:dyDescent="0.25">
      <c r="B15" s="24"/>
      <c r="C15" s="24" t="s">
        <v>438</v>
      </c>
      <c r="D15" s="26"/>
      <c r="E15" s="23"/>
      <c r="F15" s="27"/>
      <c r="G15" s="29">
        <f>SUM(G12:G14)</f>
        <v>5380</v>
      </c>
      <c r="H15" s="36"/>
    </row>
    <row r="16" spans="2:8" x14ac:dyDescent="0.25">
      <c r="B16" s="22"/>
      <c r="C16" s="24" t="s">
        <v>443</v>
      </c>
      <c r="D16" s="24"/>
      <c r="E16" s="24"/>
      <c r="F16" s="24"/>
      <c r="G16" s="25">
        <f>G10+G15</f>
        <v>20000</v>
      </c>
      <c r="H16" s="36"/>
    </row>
    <row r="17" spans="2:8" x14ac:dyDescent="0.25">
      <c r="H17" s="36"/>
    </row>
    <row r="18" spans="2:8" x14ac:dyDescent="0.25">
      <c r="H18" s="36"/>
    </row>
    <row r="19" spans="2:8" x14ac:dyDescent="0.25">
      <c r="B19" s="22" t="s">
        <v>444</v>
      </c>
      <c r="C19" s="22"/>
      <c r="D19" s="26"/>
      <c r="E19" s="26"/>
      <c r="F19" s="26"/>
      <c r="G19" s="27"/>
      <c r="H19" s="36"/>
    </row>
    <row r="20" spans="2:8" ht="38.25" customHeight="1" x14ac:dyDescent="0.25">
      <c r="B20" s="23" t="s">
        <v>414</v>
      </c>
      <c r="C20" s="23" t="s">
        <v>445</v>
      </c>
      <c r="D20" s="23" t="s">
        <v>427</v>
      </c>
      <c r="E20" s="23" t="s">
        <v>428</v>
      </c>
      <c r="F20" s="23" t="s">
        <v>429</v>
      </c>
      <c r="G20" s="23" t="s">
        <v>430</v>
      </c>
      <c r="H20" s="36"/>
    </row>
    <row r="21" spans="2:8" x14ac:dyDescent="0.25">
      <c r="B21" s="23"/>
      <c r="C21" s="24" t="s">
        <v>431</v>
      </c>
      <c r="D21" s="23"/>
      <c r="E21" s="23"/>
      <c r="F21" s="23"/>
      <c r="G21" s="23"/>
      <c r="H21" s="36"/>
    </row>
    <row r="22" spans="2:8" ht="25.5" customHeight="1" x14ac:dyDescent="0.25">
      <c r="B22" s="23" t="s">
        <v>14</v>
      </c>
      <c r="C22" s="24" t="s">
        <v>446</v>
      </c>
      <c r="D22" s="23" t="s">
        <v>447</v>
      </c>
      <c r="E22" s="23">
        <v>1</v>
      </c>
      <c r="F22" s="25">
        <v>5473.9</v>
      </c>
      <c r="G22" s="25">
        <f>F22*E22</f>
        <v>5473.9</v>
      </c>
      <c r="H22" s="36"/>
    </row>
    <row r="23" spans="2:8" ht="25.5" customHeight="1" x14ac:dyDescent="0.25">
      <c r="B23" s="23" t="s">
        <v>62</v>
      </c>
      <c r="C23" s="24" t="s">
        <v>448</v>
      </c>
      <c r="D23" s="23" t="s">
        <v>447</v>
      </c>
      <c r="E23" s="23">
        <v>1</v>
      </c>
      <c r="F23" s="25">
        <v>1026.4000000000001</v>
      </c>
      <c r="G23" s="25">
        <f>F23*E23</f>
        <v>1026.4000000000001</v>
      </c>
      <c r="H23" s="36"/>
    </row>
    <row r="24" spans="2:8" ht="38.25" customHeight="1" x14ac:dyDescent="0.25">
      <c r="B24" s="23" t="s">
        <v>255</v>
      </c>
      <c r="C24" s="24" t="s">
        <v>449</v>
      </c>
      <c r="D24" s="23" t="s">
        <v>447</v>
      </c>
      <c r="E24" s="23">
        <v>1</v>
      </c>
      <c r="F24" s="25">
        <v>342.1</v>
      </c>
      <c r="G24" s="25">
        <f>F24*E24</f>
        <v>342.1</v>
      </c>
      <c r="H24" s="36"/>
    </row>
    <row r="25" spans="2:8" ht="51" customHeight="1" x14ac:dyDescent="0.25">
      <c r="B25" s="23" t="s">
        <v>436</v>
      </c>
      <c r="C25" s="24" t="s">
        <v>450</v>
      </c>
      <c r="D25" s="23" t="s">
        <v>447</v>
      </c>
      <c r="E25" s="23">
        <v>1</v>
      </c>
      <c r="F25" s="25">
        <v>2261.9</v>
      </c>
      <c r="G25" s="25">
        <f>F25*E25</f>
        <v>2261.9</v>
      </c>
      <c r="H25" s="36"/>
    </row>
    <row r="26" spans="2:8" ht="51" customHeight="1" x14ac:dyDescent="0.25">
      <c r="B26" s="23" t="s">
        <v>451</v>
      </c>
      <c r="C26" s="24" t="s">
        <v>452</v>
      </c>
      <c r="D26" s="23" t="s">
        <v>447</v>
      </c>
      <c r="E26" s="23">
        <v>1</v>
      </c>
      <c r="F26" s="25">
        <v>1368.5</v>
      </c>
      <c r="G26" s="25">
        <f>F26*E26</f>
        <v>1368.5</v>
      </c>
      <c r="H26" s="36"/>
    </row>
    <row r="27" spans="2:8" x14ac:dyDescent="0.25">
      <c r="B27" s="24"/>
      <c r="C27" s="26" t="s">
        <v>423</v>
      </c>
      <c r="D27" s="23"/>
      <c r="E27" s="23"/>
      <c r="F27" s="29"/>
      <c r="G27" s="25">
        <f>SUM(G22:G26)</f>
        <v>10472.799999999999</v>
      </c>
      <c r="H27" s="36"/>
    </row>
    <row r="28" spans="2:8" x14ac:dyDescent="0.25">
      <c r="B28" s="24"/>
      <c r="C28" s="24" t="s">
        <v>439</v>
      </c>
      <c r="D28" s="23"/>
      <c r="E28" s="23"/>
      <c r="F28" s="25"/>
      <c r="G28" s="35"/>
      <c r="H28" s="36"/>
    </row>
    <row r="29" spans="2:8" ht="38.25" customHeight="1" x14ac:dyDescent="0.25">
      <c r="B29" s="23" t="s">
        <v>14</v>
      </c>
      <c r="C29" s="24" t="s">
        <v>453</v>
      </c>
      <c r="D29" s="23" t="s">
        <v>447</v>
      </c>
      <c r="E29" s="23">
        <v>1</v>
      </c>
      <c r="F29" s="25">
        <v>3079.1</v>
      </c>
      <c r="G29" s="25">
        <f t="shared" ref="G29:G35" si="0">F29*E29</f>
        <v>3079.1</v>
      </c>
      <c r="H29" s="36"/>
    </row>
    <row r="30" spans="2:8" ht="51" customHeight="1" x14ac:dyDescent="0.25">
      <c r="B30" s="23" t="s">
        <v>62</v>
      </c>
      <c r="C30" s="24" t="s">
        <v>454</v>
      </c>
      <c r="D30" s="23" t="s">
        <v>447</v>
      </c>
      <c r="E30" s="23">
        <v>1</v>
      </c>
      <c r="F30" s="25">
        <v>684.2</v>
      </c>
      <c r="G30" s="25">
        <f t="shared" si="0"/>
        <v>684.2</v>
      </c>
      <c r="H30" s="36"/>
    </row>
    <row r="31" spans="2:8" ht="51" customHeight="1" x14ac:dyDescent="0.25">
      <c r="B31" s="23" t="s">
        <v>255</v>
      </c>
      <c r="C31" s="24" t="s">
        <v>455</v>
      </c>
      <c r="D31" s="23" t="s">
        <v>447</v>
      </c>
      <c r="E31" s="23">
        <v>1</v>
      </c>
      <c r="F31" s="25">
        <v>342.1</v>
      </c>
      <c r="G31" s="25">
        <f t="shared" si="0"/>
        <v>342.1</v>
      </c>
      <c r="H31" s="36"/>
    </row>
    <row r="32" spans="2:8" ht="25.5" customHeight="1" x14ac:dyDescent="0.25">
      <c r="B32" s="23" t="s">
        <v>436</v>
      </c>
      <c r="C32" s="24" t="s">
        <v>456</v>
      </c>
      <c r="D32" s="23" t="s">
        <v>447</v>
      </c>
      <c r="E32" s="23">
        <v>1</v>
      </c>
      <c r="F32" s="25">
        <v>6842.4</v>
      </c>
      <c r="G32" s="25">
        <f t="shared" si="0"/>
        <v>6842.4</v>
      </c>
      <c r="H32" s="36"/>
    </row>
    <row r="33" spans="2:8" ht="25.5" customHeight="1" x14ac:dyDescent="0.25">
      <c r="B33" s="23" t="s">
        <v>451</v>
      </c>
      <c r="C33" s="24" t="s">
        <v>457</v>
      </c>
      <c r="D33" s="23" t="s">
        <v>447</v>
      </c>
      <c r="E33" s="23">
        <v>1</v>
      </c>
      <c r="F33" s="25">
        <v>1368.5</v>
      </c>
      <c r="G33" s="25">
        <f t="shared" si="0"/>
        <v>1368.5</v>
      </c>
      <c r="H33" s="36"/>
    </row>
    <row r="34" spans="2:8" ht="76.5" customHeight="1" x14ac:dyDescent="0.25">
      <c r="B34" s="23" t="s">
        <v>458</v>
      </c>
      <c r="C34" s="24" t="s">
        <v>459</v>
      </c>
      <c r="D34" s="23" t="s">
        <v>447</v>
      </c>
      <c r="E34" s="23">
        <v>1</v>
      </c>
      <c r="F34" s="25">
        <v>7526.7</v>
      </c>
      <c r="G34" s="25">
        <f t="shared" si="0"/>
        <v>7526.7</v>
      </c>
      <c r="H34" s="36"/>
    </row>
    <row r="35" spans="2:8" ht="38.25" customHeight="1" x14ac:dyDescent="0.25">
      <c r="B35" s="23" t="s">
        <v>460</v>
      </c>
      <c r="C35" s="24" t="s">
        <v>461</v>
      </c>
      <c r="D35" s="23" t="s">
        <v>447</v>
      </c>
      <c r="E35" s="23">
        <v>1</v>
      </c>
      <c r="F35" s="25">
        <v>684.2</v>
      </c>
      <c r="G35" s="25">
        <f t="shared" si="0"/>
        <v>684.2</v>
      </c>
      <c r="H35" s="36"/>
    </row>
    <row r="36" spans="2:8" x14ac:dyDescent="0.25">
      <c r="B36" s="24"/>
      <c r="C36" s="26" t="s">
        <v>423</v>
      </c>
      <c r="D36" s="23"/>
      <c r="E36" s="23"/>
      <c r="F36" s="29"/>
      <c r="G36" s="25">
        <f>SUM(G29:G35)</f>
        <v>20527.2</v>
      </c>
      <c r="H36" s="36"/>
    </row>
    <row r="37" spans="2:8" x14ac:dyDescent="0.25">
      <c r="B37" s="22"/>
      <c r="C37" s="30" t="s">
        <v>462</v>
      </c>
      <c r="D37" s="24"/>
      <c r="E37" s="24"/>
      <c r="F37" s="25"/>
      <c r="G37" s="25">
        <f>G27+G36</f>
        <v>31000</v>
      </c>
      <c r="H37" s="36"/>
    </row>
  </sheetData>
  <mergeCells count="3">
    <mergeCell ref="H6:H7"/>
    <mergeCell ref="B2:C2"/>
    <mergeCell ref="H1:H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План-график (На подписание)</vt:lpstr>
      <vt:lpstr>Важное</vt:lpstr>
      <vt:lpstr>Ведомость исполнителя</vt:lpstr>
      <vt:lpstr>Соисполнители </vt:lpstr>
      <vt:lpstr>Оборудование и Сырье</vt:lpstr>
      <vt:lpstr>Важное!Заголовки_для_печати</vt:lpstr>
      <vt:lpstr>'План-график (На подписание)'!Заголовки_для_печати</vt:lpstr>
      <vt:lpstr>'План-график (На подписание)'!Область_печати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Лонская Екатерина Ивановна</dc:creator>
  <cp:lastModifiedBy>Pavel Klemmer</cp:lastModifiedBy>
  <cp:revision>0</cp:revision>
  <cp:lastPrinted>2026-09-01T07:35:06Z</cp:lastPrinted>
  <dcterms:created xsi:type="dcterms:W3CDTF">2026-07-09T12:01:19Z</dcterms:created>
  <dcterms:modified xsi:type="dcterms:W3CDTF">2026-09-27T17:25:37Z</dcterms:modified>
  <dc:language>en-US</dc:language>
</cp:coreProperties>
</file>